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lahn\Documents\FF1Adjacent\Data\"/>
    </mc:Choice>
  </mc:AlternateContent>
  <xr:revisionPtr revIDLastSave="0" documentId="13_ncr:1_{2E21FB6F-AA8C-4D9A-B419-16D75226BDB1}" xr6:coauthVersionLast="47" xr6:coauthVersionMax="47" xr10:uidLastSave="{00000000-0000-0000-0000-000000000000}"/>
  <bookViews>
    <workbookView xWindow="-120" yWindow="-120" windowWidth="29040" windowHeight="15600" activeTab="1" xr2:uid="{AC30DB01-66EC-4BC6-B3CD-409E38957771}"/>
  </bookViews>
  <sheets>
    <sheet name="Armure" sheetId="2" r:id="rId1"/>
    <sheet name="Armes" sheetId="1" r:id="rId2"/>
    <sheet name="Consommables" sheetId="5" r:id="rId3"/>
    <sheet name="Outils voleur" sheetId="13" r:id="rId4"/>
    <sheet name="Manoeuvres" sheetId="12" r:id="rId5"/>
    <sheet name="Sorts" sheetId="3" r:id="rId6"/>
    <sheet name="Ennemi" sheetId="6" r:id="rId7"/>
    <sheet name="Groupe ennemis" sheetId="7" r:id="rId8"/>
    <sheet name="Starting stats" sheetId="9" r:id="rId9"/>
    <sheet name="Constantes" sheetId="4" r:id="rId10"/>
    <sheet name="ExpTable" sheetId="8" r:id="rId11"/>
    <sheet name="ff1 (2)" sheetId="14" r:id="rId12"/>
  </sheets>
  <definedNames>
    <definedName name="DonnéesExternes_1" localSheetId="11" hidden="1">'ff1 (2)'!$A$1:$AL$51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W53" i="9" l="1"/>
  <c r="AX53" i="9"/>
  <c r="AY53" i="9"/>
  <c r="AZ53" i="9"/>
  <c r="AW54" i="9"/>
  <c r="AX54" i="9"/>
  <c r="AY54" i="9"/>
  <c r="AZ54" i="9"/>
  <c r="AW55" i="9"/>
  <c r="AX55" i="9"/>
  <c r="AY55" i="9"/>
  <c r="AZ55" i="9"/>
  <c r="AW56" i="9"/>
  <c r="AX56" i="9"/>
  <c r="AY56" i="9"/>
  <c r="AZ56" i="9"/>
  <c r="BD53" i="9"/>
  <c r="BE53" i="9"/>
  <c r="BF53" i="9"/>
  <c r="BG53" i="9"/>
  <c r="BD54" i="9"/>
  <c r="BE54" i="9"/>
  <c r="BF54" i="9"/>
  <c r="BG54" i="9"/>
  <c r="BD55" i="9"/>
  <c r="BE55" i="9"/>
  <c r="BF55" i="9"/>
  <c r="BG55" i="9"/>
  <c r="BD56" i="9"/>
  <c r="BE56" i="9"/>
  <c r="BF56" i="9"/>
  <c r="BG56" i="9"/>
  <c r="BK53" i="9"/>
  <c r="BL53" i="9"/>
  <c r="BM53" i="9"/>
  <c r="BN53" i="9"/>
  <c r="BK54" i="9"/>
  <c r="BL54" i="9"/>
  <c r="BM54" i="9"/>
  <c r="BN54" i="9"/>
  <c r="BK55" i="9"/>
  <c r="BL55" i="9"/>
  <c r="BM55" i="9"/>
  <c r="BN55" i="9"/>
  <c r="BK56" i="9"/>
  <c r="BL56" i="9"/>
  <c r="BM56" i="9"/>
  <c r="BN56" i="9"/>
  <c r="BJ56" i="9"/>
  <c r="BJ55" i="9"/>
  <c r="BJ54" i="9"/>
  <c r="BJ53" i="9"/>
  <c r="BC55" i="9"/>
  <c r="BC54" i="9"/>
  <c r="BC53" i="9"/>
  <c r="BC56" i="9"/>
  <c r="AV56" i="9"/>
  <c r="AV55" i="9"/>
  <c r="AV54" i="9"/>
  <c r="AV53" i="9"/>
  <c r="AP53" i="9"/>
  <c r="AQ53" i="9"/>
  <c r="AR53" i="9"/>
  <c r="AS53" i="9"/>
  <c r="AP54" i="9"/>
  <c r="AQ54" i="9"/>
  <c r="AR54" i="9"/>
  <c r="AS54" i="9"/>
  <c r="AP55" i="9"/>
  <c r="AQ55" i="9"/>
  <c r="AR55" i="9"/>
  <c r="AS55" i="9"/>
  <c r="AP56" i="9"/>
  <c r="AQ56" i="9"/>
  <c r="AR56" i="9"/>
  <c r="AS56" i="9"/>
  <c r="AO56" i="9"/>
  <c r="AO55" i="9"/>
  <c r="AO54" i="9"/>
  <c r="AO53" i="9"/>
  <c r="AL56" i="9"/>
  <c r="AK56" i="9"/>
  <c r="AJ56" i="9"/>
  <c r="AI56" i="9"/>
  <c r="AL55" i="9"/>
  <c r="AK55" i="9"/>
  <c r="AJ55" i="9"/>
  <c r="AI55" i="9"/>
  <c r="AL54" i="9"/>
  <c r="AK54" i="9"/>
  <c r="AJ54" i="9"/>
  <c r="AI54" i="9"/>
  <c r="AL53" i="9"/>
  <c r="AK53" i="9"/>
  <c r="AJ53" i="9"/>
  <c r="AI53" i="9"/>
  <c r="AH56" i="9"/>
  <c r="AH55" i="9"/>
  <c r="AH54" i="9"/>
  <c r="AH53" i="9"/>
  <c r="AB56" i="9"/>
  <c r="AC56" i="9"/>
  <c r="AD56" i="9"/>
  <c r="AE56" i="9"/>
  <c r="AA56" i="9"/>
  <c r="AA54" i="9"/>
  <c r="AA53" i="9"/>
  <c r="BN52" i="9"/>
  <c r="BM52" i="9"/>
  <c r="BL52" i="9"/>
  <c r="BK52" i="9"/>
  <c r="BJ52" i="9"/>
  <c r="BI52" i="9"/>
  <c r="BG52" i="9"/>
  <c r="BF52" i="9"/>
  <c r="BE52" i="9"/>
  <c r="BD52" i="9"/>
  <c r="BC52" i="9"/>
  <c r="BB52" i="9"/>
  <c r="AZ52" i="9"/>
  <c r="AY52" i="9"/>
  <c r="AX52" i="9"/>
  <c r="AW52" i="9"/>
  <c r="AV52" i="9"/>
  <c r="AU52" i="9"/>
  <c r="AS52" i="9"/>
  <c r="AR52" i="9"/>
  <c r="AQ52" i="9"/>
  <c r="AP52" i="9"/>
  <c r="AO52" i="9"/>
  <c r="AN52" i="9"/>
  <c r="BN51" i="9"/>
  <c r="BM51" i="9"/>
  <c r="BL51" i="9"/>
  <c r="BK51" i="9"/>
  <c r="BJ51" i="9"/>
  <c r="BI51" i="9"/>
  <c r="BG51" i="9"/>
  <c r="BF51" i="9"/>
  <c r="BE51" i="9"/>
  <c r="BD51" i="9"/>
  <c r="BC51" i="9"/>
  <c r="BB51" i="9"/>
  <c r="AZ51" i="9"/>
  <c r="AY51" i="9"/>
  <c r="AX51" i="9"/>
  <c r="AW51" i="9"/>
  <c r="AV51" i="9"/>
  <c r="AU51" i="9"/>
  <c r="AS51" i="9"/>
  <c r="AR51" i="9"/>
  <c r="AQ51" i="9"/>
  <c r="AP51" i="9"/>
  <c r="AO51" i="9"/>
  <c r="AN51" i="9"/>
  <c r="AL52" i="9"/>
  <c r="AK52" i="9"/>
  <c r="AJ52" i="9"/>
  <c r="AI52" i="9"/>
  <c r="AH52" i="9"/>
  <c r="AG52" i="9"/>
  <c r="AL51" i="9"/>
  <c r="AK51" i="9"/>
  <c r="AJ51" i="9"/>
  <c r="AI51" i="9"/>
  <c r="AH51" i="9"/>
  <c r="AG51" i="9"/>
  <c r="AE52" i="9"/>
  <c r="AE54" i="9" s="1"/>
  <c r="AD52" i="9"/>
  <c r="AD54" i="9" s="1"/>
  <c r="AC52" i="9"/>
  <c r="AC54" i="9" s="1"/>
  <c r="AB52" i="9"/>
  <c r="AB54" i="9" s="1"/>
  <c r="AA52" i="9"/>
  <c r="Z52" i="9"/>
  <c r="AE51" i="9"/>
  <c r="AE53" i="9" s="1"/>
  <c r="AD51" i="9"/>
  <c r="AD55" i="9" s="1"/>
  <c r="AC51" i="9"/>
  <c r="AC53" i="9" s="1"/>
  <c r="AB51" i="9"/>
  <c r="AB53" i="9" s="1"/>
  <c r="AA51" i="9"/>
  <c r="AA55" i="9" s="1"/>
  <c r="Z51" i="9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P3" i="9"/>
  <c r="P15" i="9" s="1"/>
  <c r="P4" i="9"/>
  <c r="P18" i="9" s="1"/>
  <c r="P5" i="9"/>
  <c r="P23" i="9" s="1"/>
  <c r="P6" i="9"/>
  <c r="P27" i="9" s="1"/>
  <c r="P7" i="9"/>
  <c r="P32" i="9" s="1"/>
  <c r="O3" i="9"/>
  <c r="O15" i="9" s="1"/>
  <c r="O4" i="9"/>
  <c r="O19" i="9" s="1"/>
  <c r="O5" i="9"/>
  <c r="O22" i="9" s="1"/>
  <c r="O6" i="9"/>
  <c r="O26" i="9" s="1"/>
  <c r="O7" i="9"/>
  <c r="O31" i="9" s="1"/>
  <c r="P2" i="9"/>
  <c r="P12" i="9" s="1"/>
  <c r="O2" i="9"/>
  <c r="O11" i="9" s="1"/>
  <c r="N3" i="9"/>
  <c r="N16" i="9" s="1"/>
  <c r="N4" i="9"/>
  <c r="N18" i="9" s="1"/>
  <c r="N5" i="9"/>
  <c r="N24" i="9" s="1"/>
  <c r="N6" i="9"/>
  <c r="N27" i="9" s="1"/>
  <c r="N7" i="9"/>
  <c r="N31" i="9" s="1"/>
  <c r="N2" i="9"/>
  <c r="N10" i="9" s="1"/>
  <c r="M3" i="9"/>
  <c r="M15" i="9" s="1"/>
  <c r="M4" i="9"/>
  <c r="M19" i="9" s="1"/>
  <c r="M5" i="9"/>
  <c r="M22" i="9" s="1"/>
  <c r="M6" i="9"/>
  <c r="M27" i="9" s="1"/>
  <c r="M7" i="9"/>
  <c r="M31" i="9" s="1"/>
  <c r="M2" i="9"/>
  <c r="M11" i="9" s="1"/>
  <c r="C48" i="8"/>
  <c r="C46" i="8"/>
  <c r="C44" i="8"/>
  <c r="C42" i="8"/>
  <c r="C41" i="8"/>
  <c r="C39" i="8"/>
  <c r="C40" i="8" s="1"/>
  <c r="C43" i="8" s="1"/>
  <c r="C45" i="8" s="1"/>
  <c r="C47" i="8" s="1"/>
  <c r="C49" i="8" s="1"/>
  <c r="C50" i="8" s="1"/>
  <c r="C51" i="8" s="1"/>
  <c r="C37" i="8"/>
  <c r="C35" i="8"/>
  <c r="C36" i="8"/>
  <c r="C38" i="8"/>
  <c r="C34" i="8"/>
  <c r="C33" i="8"/>
  <c r="B33" i="8" s="1"/>
  <c r="C32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7" i="8"/>
  <c r="B4" i="8"/>
  <c r="B5" i="8"/>
  <c r="B6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4" i="8"/>
  <c r="B3" i="8"/>
  <c r="AE55" i="9" l="1"/>
  <c r="AC55" i="9"/>
  <c r="AB55" i="9"/>
  <c r="AD53" i="9"/>
  <c r="N11" i="9"/>
  <c r="N22" i="9"/>
  <c r="N15" i="9"/>
  <c r="P10" i="9"/>
  <c r="O12" i="9"/>
  <c r="P11" i="9"/>
  <c r="N19" i="9"/>
  <c r="O10" i="9"/>
  <c r="O18" i="9"/>
  <c r="O24" i="9"/>
  <c r="N23" i="9"/>
  <c r="P22" i="9"/>
  <c r="N14" i="9"/>
  <c r="O23" i="9"/>
  <c r="P31" i="9"/>
  <c r="P19" i="9"/>
  <c r="O16" i="9"/>
  <c r="O14" i="9"/>
  <c r="O28" i="9"/>
  <c r="O27" i="9"/>
  <c r="P30" i="9"/>
  <c r="P26" i="9"/>
  <c r="P28" i="9"/>
  <c r="P14" i="9"/>
  <c r="P16" i="9"/>
  <c r="P24" i="9"/>
  <c r="M18" i="9"/>
  <c r="M14" i="9"/>
  <c r="P20" i="9"/>
  <c r="M10" i="9"/>
  <c r="M24" i="9"/>
  <c r="N12" i="9"/>
  <c r="M12" i="9"/>
  <c r="M23" i="9"/>
  <c r="N28" i="9"/>
  <c r="M16" i="9"/>
  <c r="M28" i="9"/>
  <c r="N26" i="9"/>
  <c r="M26" i="9"/>
  <c r="M30" i="9"/>
  <c r="N30" i="9"/>
  <c r="O20" i="9"/>
  <c r="O32" i="9"/>
  <c r="O30" i="9"/>
  <c r="N20" i="9"/>
  <c r="N32" i="9"/>
  <c r="M20" i="9"/>
  <c r="M32" i="9"/>
  <c r="B50" i="8"/>
  <c r="B49" i="8"/>
  <c r="B48" i="8"/>
  <c r="B47" i="8"/>
  <c r="B44" i="8"/>
  <c r="B51" i="8"/>
  <c r="B46" i="8"/>
  <c r="B45" i="8"/>
  <c r="B43" i="8"/>
  <c r="B42" i="8"/>
  <c r="B41" i="8"/>
  <c r="B40" i="8"/>
  <c r="B39" i="8"/>
  <c r="B38" i="8"/>
  <c r="B37" i="8"/>
  <c r="B36" i="8"/>
  <c r="B35" i="8"/>
  <c r="B34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834637-3C0F-4A66-9272-747E285DDE6D}" keepAlive="1" name="Requête - ff1" description="Connexion à la requête « ff1 » dans le classeur." type="5" refreshedVersion="7" background="1" saveData="1">
    <dbPr connection="Provider=Microsoft.Mashup.OleDb.1;Data Source=$Workbook$;Location=ff1;Extended Properties=&quot;&quot;" command="SELECT * FROM [ff1]"/>
  </connection>
  <connection id="2" xr16:uid="{55D8D968-DEFD-484F-97AD-F470FEFFAB29}" keepAlive="1" name="Requête - ff1 (2)" description="Connexion à la requête « ff1 (2) » dans le classeur." type="5" refreshedVersion="7" background="1" saveData="1">
    <dbPr connection="Provider=Microsoft.Mashup.OleDb.1;Data Source=$Workbook$;Location=&quot;ff1 (2)&quot;;Extended Properties=&quot;&quot;" command="SELECT * FROM [ff1 (2)]"/>
  </connection>
</connections>
</file>

<file path=xl/sharedStrings.xml><?xml version="1.0" encoding="utf-8"?>
<sst xmlns="http://schemas.openxmlformats.org/spreadsheetml/2006/main" count="3171" uniqueCount="404">
  <si>
    <t>Name</t>
  </si>
  <si>
    <t>Accuracy</t>
  </si>
  <si>
    <t>Element(s)</t>
  </si>
  <si>
    <t>Effective</t>
  </si>
  <si>
    <t>Cost</t>
  </si>
  <si>
    <t>Compatible</t>
  </si>
  <si>
    <t>Liste compat</t>
  </si>
  <si>
    <t>Guerrier</t>
  </si>
  <si>
    <t>Paladin</t>
  </si>
  <si>
    <t>Gladiateur</t>
  </si>
  <si>
    <t>Berserker</t>
  </si>
  <si>
    <t>Roublard</t>
  </si>
  <si>
    <t>Artificier</t>
  </si>
  <si>
    <t>Voleur de sort</t>
  </si>
  <si>
    <t>Assassin</t>
  </si>
  <si>
    <t>Moine</t>
  </si>
  <si>
    <t>Maitre</t>
  </si>
  <si>
    <t>Status</t>
  </si>
  <si>
    <t>Elements</t>
  </si>
  <si>
    <t>Type</t>
  </si>
  <si>
    <t>Acolyte</t>
  </si>
  <si>
    <t>Exorciste</t>
  </si>
  <si>
    <t>Mage rouge</t>
  </si>
  <si>
    <t>Sorcier rouge</t>
  </si>
  <si>
    <t>Mage harmonique</t>
  </si>
  <si>
    <t>Âme scindée</t>
  </si>
  <si>
    <t>Sorcier Noir</t>
  </si>
  <si>
    <t>Mage Noir</t>
  </si>
  <si>
    <t>Mage de bataille</t>
  </si>
  <si>
    <t>Astrologue</t>
  </si>
  <si>
    <t>Mage Blanc</t>
  </si>
  <si>
    <t>Sorcier Blanc</t>
  </si>
  <si>
    <t>Enchanteur</t>
  </si>
  <si>
    <t>Inquisiteur</t>
  </si>
  <si>
    <t>Feu</t>
  </si>
  <si>
    <t>Foudre</t>
  </si>
  <si>
    <t>Glace</t>
  </si>
  <si>
    <t>Eau</t>
  </si>
  <si>
    <t>Terre</t>
  </si>
  <si>
    <t>Poison</t>
  </si>
  <si>
    <t>Mort</t>
  </si>
  <si>
    <t>Temps</t>
  </si>
  <si>
    <t>Sans élément</t>
  </si>
  <si>
    <t>Aveugle</t>
  </si>
  <si>
    <t>Stun</t>
  </si>
  <si>
    <t>Confus</t>
  </si>
  <si>
    <t>Silence</t>
  </si>
  <si>
    <t>Epée</t>
  </si>
  <si>
    <t>Hache</t>
  </si>
  <si>
    <t>Masse</t>
  </si>
  <si>
    <t>Sceptre</t>
  </si>
  <si>
    <t>Dague</t>
  </si>
  <si>
    <t>Pétrifié</t>
  </si>
  <si>
    <t>Poing</t>
  </si>
  <si>
    <t>Katana</t>
  </si>
  <si>
    <t>Type (Arme)</t>
  </si>
  <si>
    <t>Type (Armure)</t>
  </si>
  <si>
    <t>Corps</t>
  </si>
  <si>
    <t>Gant</t>
  </si>
  <si>
    <t>Bouclier</t>
  </si>
  <si>
    <t>Chapeau</t>
  </si>
  <si>
    <t>Bottes ?</t>
  </si>
  <si>
    <t>Type (Consommable)</t>
  </si>
  <si>
    <t>Soin</t>
  </si>
  <si>
    <t>Soin (status)</t>
  </si>
  <si>
    <t>Save</t>
  </si>
  <si>
    <t>Dommage</t>
  </si>
  <si>
    <t>Sort</t>
  </si>
  <si>
    <t>Resistance</t>
  </si>
  <si>
    <t>Armure</t>
  </si>
  <si>
    <t>Esquive</t>
  </si>
  <si>
    <t>Bonus1Type</t>
  </si>
  <si>
    <t>Bonus1Valeur</t>
  </si>
  <si>
    <t>Bonus2Type</t>
  </si>
  <si>
    <t>Bonus2Valeur</t>
  </si>
  <si>
    <t>Resistance (status)</t>
  </si>
  <si>
    <t xml:space="preserve">Bonus </t>
  </si>
  <si>
    <t>Int</t>
  </si>
  <si>
    <t>Fo</t>
  </si>
  <si>
    <t>Agi</t>
  </si>
  <si>
    <t>Luck</t>
  </si>
  <si>
    <t>Stamina</t>
  </si>
  <si>
    <t>PV</t>
  </si>
  <si>
    <t>pas pris en compte pour gain pv</t>
  </si>
  <si>
    <t>accuracy</t>
  </si>
  <si>
    <t>def</t>
  </si>
  <si>
    <t>evade</t>
  </si>
  <si>
    <t>Nom</t>
  </si>
  <si>
    <t>Bonus</t>
  </si>
  <si>
    <t>crit</t>
  </si>
  <si>
    <t>Crit rate</t>
  </si>
  <si>
    <t>Hp</t>
  </si>
  <si>
    <t>Type (ennemi)</t>
  </si>
  <si>
    <t>Mage</t>
  </si>
  <si>
    <t>Dragon</t>
  </si>
  <si>
    <t>Bête</t>
  </si>
  <si>
    <t>Mort vivant</t>
  </si>
  <si>
    <t>Aquatique</t>
  </si>
  <si>
    <t>Volant</t>
  </si>
  <si>
    <t>Demon</t>
  </si>
  <si>
    <t>Humanoide</t>
  </si>
  <si>
    <t>Mdef</t>
  </si>
  <si>
    <t>Level</t>
  </si>
  <si>
    <t>Xp</t>
  </si>
  <si>
    <t>Xp (Incr)</t>
  </si>
  <si>
    <t>Effet1</t>
  </si>
  <si>
    <t>Effet2</t>
  </si>
  <si>
    <t>Effet3</t>
  </si>
  <si>
    <t>Selon le type:</t>
  </si>
  <si>
    <t>Quantité</t>
  </si>
  <si>
    <t>X</t>
  </si>
  <si>
    <t>Zone?</t>
  </si>
  <si>
    <t>Mana?</t>
  </si>
  <si>
    <t>MinHp</t>
  </si>
  <si>
    <t>maxHp</t>
  </si>
  <si>
    <t>MaxHp</t>
  </si>
  <si>
    <t>Puissance</t>
  </si>
  <si>
    <t>Element</t>
  </si>
  <si>
    <t>Type(s)</t>
  </si>
  <si>
    <t>Mage Rouge</t>
  </si>
  <si>
    <t>HP</t>
  </si>
  <si>
    <t>STR</t>
  </si>
  <si>
    <t>AGI</t>
  </si>
  <si>
    <t>INT</t>
  </si>
  <si>
    <t>VIT</t>
  </si>
  <si>
    <t>LCK</t>
  </si>
  <si>
    <t>HIT</t>
  </si>
  <si>
    <t>MDF</t>
  </si>
  <si>
    <t>DEF</t>
  </si>
  <si>
    <t>GHIT</t>
  </si>
  <si>
    <t>GMDF</t>
  </si>
  <si>
    <t>Promotion gains</t>
  </si>
  <si>
    <t>Guaranteed stat gains</t>
  </si>
  <si>
    <t>Mnoir</t>
  </si>
  <si>
    <t>Mblanc</t>
  </si>
  <si>
    <t>Mrouge</t>
  </si>
  <si>
    <t>Niveau</t>
  </si>
  <si>
    <t>Type (magie)</t>
  </si>
  <si>
    <t>Malus</t>
  </si>
  <si>
    <t>Effet4</t>
  </si>
  <si>
    <t>Precision</t>
  </si>
  <si>
    <t>Zone</t>
  </si>
  <si>
    <t>Tous</t>
  </si>
  <si>
    <t>Zone (visé)</t>
  </si>
  <si>
    <t>Aléatoire</t>
  </si>
  <si>
    <t>Un</t>
  </si>
  <si>
    <t>Tous (alliés et ennemis)</t>
  </si>
  <si>
    <t>Types(s)</t>
  </si>
  <si>
    <t>Peuvent être combinés (short, bit)</t>
  </si>
  <si>
    <t>Identiques aux sorts</t>
  </si>
  <si>
    <t>NivVal1</t>
  </si>
  <si>
    <t>NivVal2</t>
  </si>
  <si>
    <t>HitAtVal2</t>
  </si>
  <si>
    <t>MDFAtVal2</t>
  </si>
  <si>
    <t>MDFAtVal1</t>
  </si>
  <si>
    <t>HitAtVal1</t>
  </si>
  <si>
    <t>Non</t>
  </si>
  <si>
    <t>Noire</t>
  </si>
  <si>
    <t>Blanche</t>
  </si>
  <si>
    <t>Feu 2</t>
  </si>
  <si>
    <t>Glace 2</t>
  </si>
  <si>
    <t>Foudre 2</t>
  </si>
  <si>
    <t>Feu 3</t>
  </si>
  <si>
    <t>Glace 3</t>
  </si>
  <si>
    <t>Foudre 3</t>
  </si>
  <si>
    <t>Nihil</t>
  </si>
  <si>
    <t>Oui</t>
  </si>
  <si>
    <t>Comète</t>
  </si>
  <si>
    <t>Effet5</t>
  </si>
  <si>
    <t>Effet6</t>
  </si>
  <si>
    <t>DommageStatus</t>
  </si>
  <si>
    <t>Gravité</t>
  </si>
  <si>
    <t>Trombe</t>
  </si>
  <si>
    <t>Tremblement</t>
  </si>
  <si>
    <t>Bio</t>
  </si>
  <si>
    <t>DommageType</t>
  </si>
  <si>
    <t>Types</t>
  </si>
  <si>
    <t>Dia</t>
  </si>
  <si>
    <t>Buée</t>
  </si>
  <si>
    <t>Egide</t>
  </si>
  <si>
    <t>Aura</t>
  </si>
  <si>
    <t>Prière</t>
  </si>
  <si>
    <t>Antidote</t>
  </si>
  <si>
    <t>Barrière</t>
  </si>
  <si>
    <t>Soin 2</t>
  </si>
  <si>
    <t>Dia 2</t>
  </si>
  <si>
    <t>Antimagi</t>
  </si>
  <si>
    <t>Conviction</t>
  </si>
  <si>
    <t>Aura 2</t>
  </si>
  <si>
    <t>Resurrection</t>
  </si>
  <si>
    <t>Mur</t>
  </si>
  <si>
    <t>Douceur</t>
  </si>
  <si>
    <t>Sylphe</t>
  </si>
  <si>
    <t>Soin 3</t>
  </si>
  <si>
    <t>Anathème</t>
  </si>
  <si>
    <t>Sceau</t>
  </si>
  <si>
    <t>Aura 3</t>
  </si>
  <si>
    <t>Dia 3</t>
  </si>
  <si>
    <t>Panacée</t>
  </si>
  <si>
    <t>Sanctuaire</t>
  </si>
  <si>
    <t>Soin 4</t>
  </si>
  <si>
    <t>Resurrection 2</t>
  </si>
  <si>
    <t>Antimort</t>
  </si>
  <si>
    <t>Aura 4</t>
  </si>
  <si>
    <t>Dia 4</t>
  </si>
  <si>
    <t>Dissipation</t>
  </si>
  <si>
    <t>Kekkai</t>
  </si>
  <si>
    <t>Sommeil</t>
  </si>
  <si>
    <t>Leste</t>
  </si>
  <si>
    <t>Stop</t>
  </si>
  <si>
    <t>Ralentissement</t>
  </si>
  <si>
    <t>Banshee</t>
  </si>
  <si>
    <t>Hex</t>
  </si>
  <si>
    <t>Quasar</t>
  </si>
  <si>
    <t>Slow</t>
  </si>
  <si>
    <t>Mort vivant,Démon</t>
  </si>
  <si>
    <t>Lanceur</t>
  </si>
  <si>
    <t>Sylphe?</t>
  </si>
  <si>
    <t>def,evade,mdef</t>
  </si>
  <si>
    <t>Stun,Confus</t>
  </si>
  <si>
    <t>(Hors combat)</t>
  </si>
  <si>
    <t>Poison,Aveugle,Stun,Confus,Silence,Sommeil</t>
  </si>
  <si>
    <t>Mort,Status,Temps</t>
  </si>
  <si>
    <t>oui</t>
  </si>
  <si>
    <t>Feu,Glace,Foudre</t>
  </si>
  <si>
    <t>Terre,Poison,Eau</t>
  </si>
  <si>
    <t>atk</t>
  </si>
  <si>
    <t>mdef</t>
  </si>
  <si>
    <t>Stun,Poison,Silence</t>
  </si>
  <si>
    <t>Hardcodé: Echappe a un donjon.</t>
  </si>
  <si>
    <t>atk,def,accuracy,evade</t>
  </si>
  <si>
    <t>Column1</t>
  </si>
  <si>
    <t/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</si>
  <si>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</si>
  <si>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</si>
  <si>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</si>
  <si>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</si>
  <si>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</si>
  <si>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</si>
  <si>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</si>
  <si>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</si>
  <si>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</si>
  <si>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</si>
  <si>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</si>
  <si>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</si>
  <si>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</si>
  <si>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</si>
  <si>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</si>
  <si>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</si>
  <si>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</si>
  <si>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</si>
  <si>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</si>
  <si>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</si>
  <si>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</si>
  <si>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</si>
  <si>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</si>
  <si>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</si>
  <si>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</si>
  <si>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</si>
  <si>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</si>
  <si>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</si>
  <si>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</si>
  <si>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</si>
  <si>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</si>
  <si>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</si>
  <si>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</si>
  <si>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</si>
  <si>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</si>
  <si>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</si>
  <si>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</si>
  <si>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</si>
  <si>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</si>
  <si>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</si>
  <si>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</si>
  <si>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</si>
  <si>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</si>
  <si>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</si>
  <si>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</si>
  <si>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</si>
  <si>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</si>
  <si>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</si>
  <si>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</si>
  <si>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LV</t>
  </si>
  <si>
    <t>Warrior</t>
  </si>
  <si>
    <t>Thief</t>
  </si>
  <si>
    <t>Monk</t>
  </si>
  <si>
    <t>RedM.</t>
  </si>
  <si>
    <t>WhiteM.</t>
  </si>
  <si>
    <t>BlackM.</t>
  </si>
  <si>
    <t>Health</t>
  </si>
  <si>
    <t>Health2</t>
  </si>
  <si>
    <t>Strength</t>
  </si>
  <si>
    <t>Vita</t>
  </si>
  <si>
    <t>Strength3</t>
  </si>
  <si>
    <t>Agi4</t>
  </si>
  <si>
    <t>Int5</t>
  </si>
  <si>
    <t>Vita6</t>
  </si>
  <si>
    <t>Luck7</t>
  </si>
  <si>
    <t>Health4</t>
  </si>
  <si>
    <t>Strength5</t>
  </si>
  <si>
    <t>Agi6</t>
  </si>
  <si>
    <t>Int7</t>
  </si>
  <si>
    <t>Vita8</t>
  </si>
  <si>
    <t>Luck9</t>
  </si>
  <si>
    <t>Health5</t>
  </si>
  <si>
    <t>Strength6</t>
  </si>
  <si>
    <t>Agi7</t>
  </si>
  <si>
    <t>Int8</t>
  </si>
  <si>
    <t>Vita9</t>
  </si>
  <si>
    <t>Luck10</t>
  </si>
  <si>
    <t>Health6</t>
  </si>
  <si>
    <t>Strength7</t>
  </si>
  <si>
    <t>Agi8</t>
  </si>
  <si>
    <t>Int9</t>
  </si>
  <si>
    <t>Vita10</t>
  </si>
  <si>
    <t>Luck11</t>
  </si>
  <si>
    <t>Health7</t>
  </si>
  <si>
    <t>Strength8</t>
  </si>
  <si>
    <t>Agi9</t>
  </si>
  <si>
    <t>Int10</t>
  </si>
  <si>
    <t>Vita11</t>
  </si>
  <si>
    <t>Luck12</t>
  </si>
  <si>
    <t>None</t>
  </si>
  <si>
    <t>Str: Str/2 ajouté aux dégats</t>
  </si>
  <si>
    <t>int: multiplicateur degats + bonus accuracy spells</t>
  </si>
  <si>
    <t>Vit: Vit/4 bonus hp each level up</t>
  </si>
  <si>
    <t>luck: +1 crit /2 luck au dessus de 20, augmente chance de s'échapper</t>
  </si>
  <si>
    <t>Big hp: +20-25</t>
  </si>
  <si>
    <t>25% de chance de gain d'une stat non forcée</t>
  </si>
  <si>
    <t>Agi: +1 evade et initiative</t>
  </si>
  <si>
    <t>Affutage</t>
  </si>
  <si>
    <t>Sombre</t>
  </si>
  <si>
    <t>Hâte</t>
  </si>
  <si>
    <t>Confusion</t>
  </si>
  <si>
    <t>Pierre</t>
  </si>
  <si>
    <t>Entrave</t>
  </si>
  <si>
    <t>Enchantement</t>
  </si>
  <si>
    <t>non</t>
  </si>
  <si>
    <t>StatusGood</t>
  </si>
  <si>
    <t>Régen</t>
  </si>
  <si>
    <t>Ralliement</t>
  </si>
  <si>
    <t>Cout</t>
  </si>
  <si>
    <t>Effet1Type</t>
  </si>
  <si>
    <t>Effet1a</t>
  </si>
  <si>
    <t>Effet1b</t>
  </si>
  <si>
    <t>Effet1c</t>
  </si>
  <si>
    <t>Effet2Type</t>
  </si>
  <si>
    <t>Effet2a</t>
  </si>
  <si>
    <t>Effet2b</t>
  </si>
  <si>
    <t>Effet2c</t>
  </si>
  <si>
    <t>magie Noire /blanche</t>
  </si>
  <si>
    <t>magie monstre</t>
  </si>
  <si>
    <t>Assaut</t>
  </si>
  <si>
    <t>MinAt50</t>
  </si>
  <si>
    <t>AvgAt50</t>
  </si>
  <si>
    <t>AvgAt25</t>
  </si>
  <si>
    <t>MinAt25</t>
  </si>
  <si>
    <t>Arc</t>
  </si>
  <si>
    <t>Couteau</t>
  </si>
  <si>
    <t>Dague Mythril</t>
  </si>
  <si>
    <t>Griffes</t>
  </si>
  <si>
    <t>Damage</t>
  </si>
  <si>
    <t>Rapière</t>
  </si>
  <si>
    <t>Sabre</t>
  </si>
  <si>
    <t>Vorpale</t>
  </si>
  <si>
    <t>Lame Runique</t>
  </si>
  <si>
    <t>Lame de Corail</t>
  </si>
  <si>
    <t>Epée Longue</t>
  </si>
  <si>
    <t>Epée Courte</t>
  </si>
  <si>
    <t>Claymore</t>
  </si>
  <si>
    <t>Razoir</t>
  </si>
  <si>
    <t>Dracocide</t>
  </si>
  <si>
    <t>Chasseresse</t>
  </si>
  <si>
    <t>Epée Ignée</t>
  </si>
  <si>
    <t>Epée Glacée</t>
  </si>
  <si>
    <t>Protectrice</t>
  </si>
  <si>
    <t>Lame Soleil</t>
  </si>
  <si>
    <t>Excalibur</t>
  </si>
  <si>
    <t>Epée Mythril</t>
  </si>
  <si>
    <t>Hache Mythril</t>
  </si>
  <si>
    <t>Cimeterre</t>
  </si>
  <si>
    <t>Fauchon</t>
  </si>
  <si>
    <t>Masamune</t>
  </si>
  <si>
    <t>Nunchaku</t>
  </si>
  <si>
    <t>Grande Hache</t>
  </si>
  <si>
    <t>Marteau</t>
  </si>
  <si>
    <t>Marteau Mythril</t>
  </si>
  <si>
    <t>Thor</t>
  </si>
  <si>
    <t>Crosse</t>
  </si>
  <si>
    <t>Bâton de Soin</t>
  </si>
  <si>
    <t>Sceptre de Sorcier</t>
  </si>
  <si>
    <t>Sceptre de Mage</t>
  </si>
  <si>
    <t>Hache Lux</t>
  </si>
  <si>
    <t>Barre de fer</t>
  </si>
  <si>
    <t>Compatible:</t>
  </si>
  <si>
    <t>Sceptre Pow</t>
  </si>
  <si>
    <t>Mort Vivant</t>
  </si>
  <si>
    <t>Mort Vivant,Démon</t>
  </si>
  <si>
    <t>Achetable</t>
  </si>
  <si>
    <t>Arc Bois</t>
  </si>
  <si>
    <t>Arc Elfe</t>
  </si>
  <si>
    <t>Arc Poison</t>
  </si>
  <si>
    <t>Arc Yoichi</t>
  </si>
  <si>
    <t>Efficacité: +4DMG après calcul de l'armure, +32hit (donc +1 coup), avant haste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</si>
</sst>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4" tint="0.59996337778862885"/>
        <bgColor indexed="64"/>
      </patternFill>
    </fill>
  </fills>
  <borders count="3">
    <border>
      <left/>
      <right/>
      <top/>
      <bottom/>
      <diagonal/>
    </border>
    <border>
      <left/>
      <right/>
      <top style="double">
        <color theme="9"/>
      </top>
      <bottom style="thin">
        <color theme="9" tint="0.3999755851924192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0" fontId="1" fillId="2" borderId="1" xfId="0" applyNumberFormat="1" applyFont="1" applyFill="1" applyBorder="1"/>
    <xf numFmtId="0" fontId="0" fillId="3" borderId="0" xfId="0" applyFill="1"/>
    <xf numFmtId="0" fontId="0" fillId="3" borderId="0" xfId="0" applyNumberFormat="1" applyFill="1"/>
    <xf numFmtId="0" fontId="1" fillId="3" borderId="1" xfId="0" applyNumberFormat="1" applyFont="1" applyFill="1" applyBorder="1"/>
    <xf numFmtId="0" fontId="0" fillId="4" borderId="0" xfId="0" applyFill="1"/>
    <xf numFmtId="0" fontId="0" fillId="4" borderId="0" xfId="0" applyNumberFormat="1" applyFill="1"/>
    <xf numFmtId="0" fontId="1" fillId="4" borderId="1" xfId="0" applyNumberFormat="1" applyFont="1" applyFill="1" applyBorder="1"/>
    <xf numFmtId="0" fontId="0" fillId="5" borderId="0" xfId="0" applyFill="1"/>
    <xf numFmtId="0" fontId="0" fillId="5" borderId="0" xfId="0" applyNumberFormat="1" applyFill="1"/>
    <xf numFmtId="0" fontId="1" fillId="5" borderId="1" xfId="0" applyNumberFormat="1" applyFont="1" applyFill="1" applyBorder="1"/>
    <xf numFmtId="0" fontId="0" fillId="6" borderId="0" xfId="0" applyFill="1"/>
    <xf numFmtId="0" fontId="0" fillId="6" borderId="0" xfId="0" applyNumberFormat="1" applyFill="1"/>
    <xf numFmtId="0" fontId="1" fillId="6" borderId="1" xfId="0" applyNumberFormat="1" applyFont="1" applyFill="1" applyBorder="1"/>
    <xf numFmtId="0" fontId="0" fillId="7" borderId="0" xfId="0" applyNumberFormat="1" applyFill="1"/>
    <xf numFmtId="0" fontId="0" fillId="7" borderId="0" xfId="0" applyFill="1"/>
    <xf numFmtId="0" fontId="1" fillId="7" borderId="1" xfId="0" applyNumberFormat="1" applyFont="1" applyFill="1" applyBorder="1"/>
    <xf numFmtId="0" fontId="0" fillId="0" borderId="2" xfId="0" applyBorder="1"/>
    <xf numFmtId="0" fontId="0" fillId="0" borderId="0" xfId="0" applyFill="1" applyBorder="1"/>
  </cellXfs>
  <cellStyles count="1">
    <cellStyle name="Normal" xfId="0" builtinId="0"/>
  </cellStyles>
  <dxfs count="76">
    <dxf>
      <numFmt numFmtId="0" formatCode="General"/>
      <fill>
        <patternFill>
          <fgColor indexed="64"/>
          <bgColor theme="1" tint="0.499984740745262"/>
        </patternFill>
      </fill>
    </dxf>
    <dxf>
      <numFmt numFmtId="0" formatCode="General"/>
      <fill>
        <patternFill patternType="solid">
          <fgColor indexed="64"/>
          <bgColor theme="1" tint="0.499984740745262"/>
        </patternFill>
      </fill>
    </dxf>
    <dxf>
      <numFmt numFmtId="0" formatCode="General"/>
      <fill>
        <patternFill>
          <fgColor indexed="64"/>
          <bgColor theme="1" tint="0.499984740745262"/>
        </patternFill>
      </fill>
    </dxf>
    <dxf>
      <numFmt numFmtId="0" formatCode="General"/>
      <fill>
        <patternFill patternType="solid">
          <fgColor indexed="64"/>
          <bgColor theme="1" tint="0.499984740745262"/>
        </patternFill>
      </fill>
    </dxf>
    <dxf>
      <numFmt numFmtId="0" formatCode="General"/>
      <fill>
        <patternFill>
          <fgColor indexed="64"/>
          <bgColor theme="1" tint="0.499984740745262"/>
        </patternFill>
      </fill>
    </dxf>
    <dxf>
      <numFmt numFmtId="0" formatCode="General"/>
      <fill>
        <patternFill patternType="solid">
          <fgColor indexed="64"/>
          <bgColor theme="1" tint="0.499984740745262"/>
        </patternFill>
      </fill>
    </dxf>
    <dxf>
      <numFmt numFmtId="0" formatCode="General"/>
      <fill>
        <patternFill>
          <fgColor indexed="64"/>
          <bgColor theme="1" tint="0.499984740745262"/>
        </patternFill>
      </fill>
    </dxf>
    <dxf>
      <numFmt numFmtId="0" formatCode="General"/>
      <fill>
        <patternFill patternType="solid">
          <fgColor indexed="64"/>
          <bgColor theme="1" tint="0.499984740745262"/>
        </patternFill>
      </fill>
    </dxf>
    <dxf>
      <numFmt numFmtId="0" formatCode="General"/>
      <fill>
        <patternFill>
          <fgColor indexed="64"/>
          <bgColor theme="1" tint="0.499984740745262"/>
        </patternFill>
      </fill>
    </dxf>
    <dxf>
      <numFmt numFmtId="0" formatCode="General"/>
      <fill>
        <patternFill patternType="solid">
          <fgColor indexed="64"/>
          <bgColor theme="1" tint="0.499984740745262"/>
        </patternFill>
      </fill>
    </dxf>
    <dxf>
      <numFmt numFmtId="0" formatCode="General"/>
      <fill>
        <patternFill>
          <fgColor indexed="64"/>
          <bgColor theme="1" tint="0.499984740745262"/>
        </patternFill>
      </fill>
    </dxf>
    <dxf>
      <numFmt numFmtId="0" formatCode="General"/>
      <fill>
        <patternFill patternType="solid">
          <fgColor indexed="64"/>
          <bgColor theme="1" tint="0.499984740745262"/>
        </patternFill>
      </fill>
    </dxf>
    <dxf>
      <numFmt numFmtId="0" formatCode="General"/>
      <fill>
        <patternFill patternType="solid">
          <fgColor indexed="64"/>
          <bgColor theme="0" tint="-0.14996795556505021"/>
        </patternFill>
      </fill>
    </dxf>
    <dxf>
      <numFmt numFmtId="0" formatCode="General"/>
      <fill>
        <patternFill patternType="solid">
          <fgColor indexed="64"/>
          <bgColor theme="0" tint="-0.14996795556505021"/>
        </patternFill>
      </fill>
    </dxf>
    <dxf>
      <numFmt numFmtId="0" formatCode="General"/>
      <fill>
        <patternFill patternType="solid">
          <fgColor indexed="64"/>
          <bgColor theme="0" tint="-0.14996795556505021"/>
        </patternFill>
      </fill>
    </dxf>
    <dxf>
      <numFmt numFmtId="0" formatCode="General"/>
      <fill>
        <patternFill patternType="solid">
          <fgColor indexed="64"/>
          <bgColor theme="0" tint="-0.14996795556505021"/>
        </patternFill>
      </fill>
    </dxf>
    <dxf>
      <numFmt numFmtId="0" formatCode="General"/>
      <fill>
        <patternFill patternType="solid">
          <fgColor indexed="64"/>
          <bgColor theme="0" tint="-0.14996795556505021"/>
        </patternFill>
      </fill>
    </dxf>
    <dxf>
      <numFmt numFmtId="0" formatCode="General"/>
      <fill>
        <patternFill patternType="solid">
          <fgColor indexed="64"/>
          <bgColor theme="0" tint="-0.14996795556505021"/>
        </patternFill>
      </fill>
    </dxf>
    <dxf>
      <numFmt numFmtId="0" formatCode="General"/>
      <fill>
        <patternFill patternType="solid">
          <fgColor indexed="64"/>
          <bgColor theme="0" tint="-0.14996795556505021"/>
        </patternFill>
      </fill>
    </dxf>
    <dxf>
      <numFmt numFmtId="0" formatCode="General"/>
      <fill>
        <patternFill patternType="solid">
          <fgColor indexed="64"/>
          <bgColor theme="0" tint="-0.14996795556505021"/>
        </patternFill>
      </fill>
    </dxf>
    <dxf>
      <numFmt numFmtId="0" formatCode="General"/>
      <fill>
        <patternFill patternType="solid">
          <fgColor indexed="64"/>
          <bgColor theme="0" tint="-0.14996795556505021"/>
        </patternFill>
      </fill>
    </dxf>
    <dxf>
      <numFmt numFmtId="0" formatCode="General"/>
      <fill>
        <patternFill patternType="solid">
          <fgColor indexed="64"/>
          <bgColor theme="0" tint="-0.14996795556505021"/>
        </patternFill>
      </fill>
    </dxf>
    <dxf>
      <numFmt numFmtId="0" formatCode="General"/>
      <fill>
        <patternFill patternType="solid">
          <fgColor indexed="64"/>
          <bgColor theme="0" tint="-0.14996795556505021"/>
        </patternFill>
      </fill>
    </dxf>
    <dxf>
      <numFmt numFmtId="0" formatCode="General"/>
      <fill>
        <patternFill patternType="solid">
          <fgColor indexed="64"/>
          <bgColor theme="0" tint="-0.14996795556505021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  <fill>
        <patternFill patternType="solid">
          <fgColor indexed="64"/>
          <bgColor rgb="FFFF0000"/>
        </patternFill>
      </fill>
    </dxf>
    <dxf>
      <numFmt numFmtId="0" formatCode="General"/>
      <fill>
        <patternFill patternType="solid">
          <fgColor indexed="64"/>
          <bgColor theme="9" tint="0.59996337778862885"/>
        </patternFill>
      </fill>
    </dxf>
    <dxf>
      <numFmt numFmtId="0" formatCode="General"/>
      <fill>
        <patternFill patternType="solid">
          <fgColor indexed="64"/>
          <bgColor theme="9" tint="0.59996337778862885"/>
        </patternFill>
      </fill>
    </dxf>
    <dxf>
      <numFmt numFmtId="0" formatCode="General"/>
      <fill>
        <patternFill patternType="solid">
          <fgColor indexed="64"/>
          <bgColor theme="9" tint="0.59996337778862885"/>
        </patternFill>
      </fill>
    </dxf>
    <dxf>
      <numFmt numFmtId="0" formatCode="General"/>
      <fill>
        <patternFill patternType="solid">
          <fgColor indexed="64"/>
          <bgColor theme="9" tint="0.59996337778862885"/>
        </patternFill>
      </fill>
    </dxf>
    <dxf>
      <numFmt numFmtId="0" formatCode="General"/>
      <fill>
        <patternFill patternType="solid">
          <fgColor indexed="64"/>
          <bgColor theme="9" tint="0.59996337778862885"/>
        </patternFill>
      </fill>
    </dxf>
    <dxf>
      <numFmt numFmtId="0" formatCode="General"/>
      <fill>
        <patternFill patternType="solid">
          <fgColor indexed="64"/>
          <bgColor theme="9" tint="0.59996337778862885"/>
        </patternFill>
      </fill>
    </dxf>
    <dxf>
      <numFmt numFmtId="0" formatCode="General"/>
      <fill>
        <patternFill patternType="solid">
          <fgColor indexed="64"/>
          <bgColor theme="9" tint="0.59996337778862885"/>
        </patternFill>
      </fill>
    </dxf>
    <dxf>
      <numFmt numFmtId="0" formatCode="General"/>
      <fill>
        <patternFill patternType="solid">
          <fgColor indexed="64"/>
          <bgColor theme="9" tint="0.59996337778862885"/>
        </patternFill>
      </fill>
    </dxf>
    <dxf>
      <numFmt numFmtId="0" formatCode="General"/>
      <fill>
        <patternFill patternType="solid">
          <fgColor indexed="64"/>
          <bgColor theme="9" tint="0.59996337778862885"/>
        </patternFill>
      </fill>
    </dxf>
    <dxf>
      <numFmt numFmtId="0" formatCode="General"/>
      <fill>
        <patternFill patternType="solid">
          <fgColor indexed="64"/>
          <bgColor theme="9" tint="0.59996337778862885"/>
        </patternFill>
      </fill>
    </dxf>
    <dxf>
      <numFmt numFmtId="0" formatCode="General"/>
      <fill>
        <patternFill patternType="solid">
          <fgColor indexed="64"/>
          <bgColor theme="9" tint="0.59996337778862885"/>
        </patternFill>
      </fill>
    </dxf>
    <dxf>
      <numFmt numFmtId="0" formatCode="General"/>
      <fill>
        <patternFill patternType="solid">
          <fgColor indexed="64"/>
          <bgColor theme="9" tint="0.59996337778862885"/>
        </patternFill>
      </fill>
    </dxf>
    <dxf>
      <numFmt numFmtId="0" formatCode="General"/>
      <fill>
        <patternFill patternType="solid">
          <fgColor indexed="64"/>
          <bgColor theme="7" tint="0.59996337778862885"/>
        </patternFill>
      </fill>
    </dxf>
    <dxf>
      <numFmt numFmtId="0" formatCode="General"/>
      <fill>
        <patternFill patternType="solid">
          <fgColor indexed="64"/>
          <bgColor theme="7" tint="0.59996337778862885"/>
        </patternFill>
      </fill>
    </dxf>
    <dxf>
      <numFmt numFmtId="0" formatCode="General"/>
      <fill>
        <patternFill patternType="solid">
          <fgColor indexed="64"/>
          <bgColor theme="7" tint="0.59996337778862885"/>
        </patternFill>
      </fill>
    </dxf>
    <dxf>
      <numFmt numFmtId="0" formatCode="General"/>
      <fill>
        <patternFill patternType="solid">
          <fgColor indexed="64"/>
          <bgColor theme="7" tint="0.59996337778862885"/>
        </patternFill>
      </fill>
    </dxf>
    <dxf>
      <numFmt numFmtId="0" formatCode="General"/>
      <fill>
        <patternFill patternType="solid">
          <fgColor indexed="64"/>
          <bgColor theme="7" tint="0.59996337778862885"/>
        </patternFill>
      </fill>
    </dxf>
    <dxf>
      <numFmt numFmtId="0" formatCode="General"/>
      <fill>
        <patternFill patternType="solid">
          <fgColor indexed="64"/>
          <bgColor theme="7" tint="0.59996337778862885"/>
        </patternFill>
      </fill>
    </dxf>
    <dxf>
      <numFmt numFmtId="0" formatCode="General"/>
      <fill>
        <patternFill patternType="solid">
          <fgColor indexed="64"/>
          <bgColor theme="7" tint="0.59996337778862885"/>
        </patternFill>
      </fill>
    </dxf>
    <dxf>
      <numFmt numFmtId="0" formatCode="General"/>
      <fill>
        <patternFill patternType="solid">
          <fgColor indexed="64"/>
          <bgColor theme="7" tint="0.59996337778862885"/>
        </patternFill>
      </fill>
    </dxf>
    <dxf>
      <numFmt numFmtId="0" formatCode="General"/>
      <fill>
        <patternFill patternType="solid">
          <fgColor indexed="64"/>
          <bgColor theme="7" tint="0.59996337778862885"/>
        </patternFill>
      </fill>
    </dxf>
    <dxf>
      <numFmt numFmtId="0" formatCode="General"/>
      <fill>
        <patternFill patternType="solid">
          <fgColor indexed="64"/>
          <bgColor theme="7" tint="0.59996337778862885"/>
        </patternFill>
      </fill>
    </dxf>
    <dxf>
      <numFmt numFmtId="0" formatCode="General"/>
      <fill>
        <patternFill patternType="solid">
          <fgColor indexed="64"/>
          <bgColor theme="7" tint="0.59996337778862885"/>
        </patternFill>
      </fill>
    </dxf>
    <dxf>
      <numFmt numFmtId="0" formatCode="General"/>
      <fill>
        <patternFill patternType="solid">
          <fgColor indexed="64"/>
          <bgColor theme="7" tint="0.59996337778862885"/>
        </patternFill>
      </fill>
    </dxf>
    <dxf>
      <numFmt numFmtId="0" formatCode="General"/>
      <fill>
        <patternFill patternType="solid">
          <fgColor indexed="64"/>
          <bgColor theme="7" tint="0.59996337778862885"/>
        </patternFill>
      </fill>
    </dxf>
    <dxf>
      <numFmt numFmtId="0" formatCode="General"/>
      <fill>
        <patternFill patternType="solid">
          <fgColor indexed="64"/>
          <bgColor theme="7" tint="0.59996337778862885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4" tint="0.59996337778862885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4" tint="0.59996337778862885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4" tint="0.59996337778862885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4" tint="0.59996337778862885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4" tint="0.59996337778862885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4" tint="0.59996337778862885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671F1B13-E18E-4065-B9DF-180E70EDCBA1}" autoFormatId="16" applyNumberFormats="0" applyBorderFormats="0" applyFontFormats="0" applyPatternFormats="0" applyAlignmentFormats="0" applyWidthHeightFormats="0">
  <queryTableRefresh nextId="39">
    <queryTableFields count="3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62B585-CF2E-4783-A6BC-CE32C3EB432B}" name="_ff13" displayName="_ff13" ref="A1:AL52" tableType="queryTable" totalsRowCount="1">
  <autoFilter ref="A1:AL51" xr:uid="{11CEBFA8-8E36-447B-8CCA-80B13A459945}"/>
  <tableColumns count="38">
    <tableColumn id="1" xr3:uid="{A36EF92C-1D73-4B12-BD7B-C0F087793B86}" uniqueName="1" name="Column1" queryTableFieldId="1" dataDxfId="75" totalsRowDxfId="74"/>
    <tableColumn id="2" xr3:uid="{6227B1A2-9ED3-4CC2-909A-8713A4B04A2C}" uniqueName="2" name="Health" totalsRowFunction="custom" queryTableFieldId="2" dataDxfId="73" totalsRowDxfId="72">
      <totalsRowFormula>COUNTA(B3:B51)</totalsRowFormula>
    </tableColumn>
    <tableColumn id="3" xr3:uid="{EC5AAC2E-CFA4-4E0A-9CAD-0681FA0FCF90}" uniqueName="3" name="Strength" totalsRowFunction="custom" queryTableFieldId="3" dataDxfId="71" totalsRowDxfId="70">
      <totalsRowFormula>COUNTA(C3:C51)</totalsRowFormula>
    </tableColumn>
    <tableColumn id="4" xr3:uid="{DC67387E-6042-40B8-BA98-E77290D0490B}" uniqueName="4" name="Agi" totalsRowFunction="custom" queryTableFieldId="4" dataDxfId="69" totalsRowDxfId="68">
      <totalsRowFormula>COUNTA(D3:D51)</totalsRowFormula>
    </tableColumn>
    <tableColumn id="5" xr3:uid="{72CA83BB-2E20-4F5D-B8BD-66D7F7390D5B}" uniqueName="5" name="Int" totalsRowFunction="custom" queryTableFieldId="5" dataDxfId="67" totalsRowDxfId="66">
      <totalsRowFormula>COUNTA(E3:E51)</totalsRowFormula>
    </tableColumn>
    <tableColumn id="6" xr3:uid="{C685F178-D95E-4502-B376-C599B6CDED8C}" uniqueName="6" name="Vita" totalsRowFunction="custom" queryTableFieldId="6" dataDxfId="65" totalsRowDxfId="64">
      <totalsRowFormula>COUNTA(F3:F51)</totalsRowFormula>
    </tableColumn>
    <tableColumn id="7" xr3:uid="{C9B6026A-2F1B-4814-855E-17E71CB9AD93}" uniqueName="7" name="Luck" totalsRowFunction="custom" queryTableFieldId="7" dataDxfId="63" totalsRowDxfId="62">
      <totalsRowFormula>COUNTA(G3:G51)</totalsRowFormula>
    </tableColumn>
    <tableColumn id="8" xr3:uid="{C8B734C9-048A-4461-9006-5102F183113B}" uniqueName="8" name="Health2" totalsRowFunction="custom" queryTableFieldId="8" dataDxfId="61" totalsRowDxfId="60">
      <totalsRowFormula>COUNTA(H3:H51)</totalsRowFormula>
    </tableColumn>
    <tableColumn id="9" xr3:uid="{7D64F9D3-11FD-4F9D-879B-0ABECA329A28}" uniqueName="9" name="Strength3" totalsRowFunction="custom" queryTableFieldId="9" dataDxfId="59" totalsRowDxfId="58">
      <totalsRowFormula>COUNTA(I3:I51)</totalsRowFormula>
    </tableColumn>
    <tableColumn id="10" xr3:uid="{163C5ED8-8C03-4EAC-8AE9-DEEB4C21B07C}" uniqueName="10" name="Agi4" totalsRowFunction="custom" queryTableFieldId="10" dataDxfId="57" totalsRowDxfId="56">
      <totalsRowFormula>COUNTA(J3:J51)</totalsRowFormula>
    </tableColumn>
    <tableColumn id="11" xr3:uid="{1192A687-4369-42F6-BCB2-9C6ECEBB4E8C}" uniqueName="11" name="Int5" totalsRowFunction="custom" queryTableFieldId="11" dataDxfId="55" totalsRowDxfId="54">
      <totalsRowFormula>COUNTA(K3:K51)</totalsRowFormula>
    </tableColumn>
    <tableColumn id="12" xr3:uid="{45773AAD-EBED-4BB7-A7E5-BDECD1AD08EB}" uniqueName="12" name="Vita6" totalsRowFunction="custom" queryTableFieldId="12" dataDxfId="53" totalsRowDxfId="52">
      <totalsRowFormula>COUNTA(L3:L51)</totalsRowFormula>
    </tableColumn>
    <tableColumn id="13" xr3:uid="{65EF8E11-5B70-48A5-BD4A-805655758835}" uniqueName="13" name="Luck7" totalsRowFunction="custom" queryTableFieldId="13" dataDxfId="51" totalsRowDxfId="50">
      <totalsRowFormula>COUNTA(M3:M51)</totalsRowFormula>
    </tableColumn>
    <tableColumn id="14" xr3:uid="{47465185-247D-4589-84DE-A64B436EDB5C}" uniqueName="14" name="None" totalsRowFunction="custom" queryTableFieldId="14" dataDxfId="49" totalsRowDxfId="48">
      <totalsRowFormula>COUNTA(N3:N51)</totalsRowFormula>
    </tableColumn>
    <tableColumn id="15" xr3:uid="{574C40A9-BFB9-4595-8A3B-7D09DD5790CA}" uniqueName="15" name="Health4" totalsRowFunction="custom" queryTableFieldId="15" dataDxfId="47" totalsRowDxfId="46">
      <totalsRowFormula>COUNTA(O3:O51)</totalsRowFormula>
    </tableColumn>
    <tableColumn id="16" xr3:uid="{3126F039-2FF3-4591-A3FA-9000965CDBDA}" uniqueName="16" name="Strength5" totalsRowFunction="custom" queryTableFieldId="16" dataDxfId="45" totalsRowDxfId="44">
      <totalsRowFormula>COUNTA(P3:P51)</totalsRowFormula>
    </tableColumn>
    <tableColumn id="17" xr3:uid="{DE7D6F18-7D3D-47DB-A15F-4C16086FF352}" uniqueName="17" name="Agi6" totalsRowFunction="custom" queryTableFieldId="17" dataDxfId="43" totalsRowDxfId="42">
      <totalsRowFormula>COUNTA(Q3:Q51)</totalsRowFormula>
    </tableColumn>
    <tableColumn id="18" xr3:uid="{785DA809-DBB5-4D6F-BDB0-5A4B91055FEC}" uniqueName="18" name="Int7" totalsRowFunction="custom" queryTableFieldId="18" dataDxfId="41" totalsRowDxfId="40">
      <totalsRowFormula>COUNTA(R3:R51)</totalsRowFormula>
    </tableColumn>
    <tableColumn id="19" xr3:uid="{3AE19638-D361-47F3-AFF4-E01A0F5D3BF4}" uniqueName="19" name="Vita8" totalsRowFunction="custom" queryTableFieldId="19" dataDxfId="39" totalsRowDxfId="38">
      <totalsRowFormula>COUNTA(S3:S51)</totalsRowFormula>
    </tableColumn>
    <tableColumn id="20" xr3:uid="{3DC9BF3D-C9FB-45AA-9A52-73028069B77C}" uniqueName="20" name="Luck9" totalsRowFunction="custom" queryTableFieldId="20" dataDxfId="37" totalsRowDxfId="36">
      <totalsRowFormula>COUNTA(T3:T51)</totalsRowFormula>
    </tableColumn>
    <tableColumn id="21" xr3:uid="{74FF46A1-854A-4E8F-B81A-CEA6A97E998B}" uniqueName="21" name="Health5" totalsRowFunction="custom" queryTableFieldId="21" dataDxfId="35" totalsRowDxfId="34">
      <totalsRowFormula>COUNTA(U3:U51)</totalsRowFormula>
    </tableColumn>
    <tableColumn id="22" xr3:uid="{4E13C54D-C067-4DBA-8F55-38664B4FE775}" uniqueName="22" name="Strength6" totalsRowFunction="custom" queryTableFieldId="22" dataDxfId="33" totalsRowDxfId="32">
      <totalsRowFormula>COUNTA(V3:V51)</totalsRowFormula>
    </tableColumn>
    <tableColumn id="23" xr3:uid="{5F78CF6F-3B92-414F-A9B0-7BB7CF570A91}" uniqueName="23" name="Agi7" totalsRowFunction="custom" queryTableFieldId="23" dataDxfId="31" totalsRowDxfId="30">
      <totalsRowFormula>COUNTA(W3:W51)</totalsRowFormula>
    </tableColumn>
    <tableColumn id="24" xr3:uid="{D3F06EEB-6C6C-4FA5-A952-2A90DCFC7F3F}" uniqueName="24" name="Int8" totalsRowFunction="custom" queryTableFieldId="24" dataDxfId="29" totalsRowDxfId="28">
      <totalsRowFormula>COUNTA(X3:X51)</totalsRowFormula>
    </tableColumn>
    <tableColumn id="25" xr3:uid="{E88AFEE4-30B1-4B5C-AFB2-83361F6F859F}" uniqueName="25" name="Vita9" totalsRowFunction="custom" queryTableFieldId="25" dataDxfId="27" totalsRowDxfId="26">
      <totalsRowFormula>COUNTA(Y3:Y51)</totalsRowFormula>
    </tableColumn>
    <tableColumn id="26" xr3:uid="{741F7793-D0F0-4251-A734-C2A5E806AF77}" uniqueName="26" name="Luck10" totalsRowFunction="custom" queryTableFieldId="26" dataDxfId="25" totalsRowDxfId="24">
      <totalsRowFormula>COUNTA(Z3:Z51)</totalsRowFormula>
    </tableColumn>
    <tableColumn id="27" xr3:uid="{B2C0CFA3-4190-4F3C-8BAD-E40D663E1DB6}" uniqueName="27" name="Health7" totalsRowFunction="custom" queryTableFieldId="27" dataDxfId="23" totalsRowDxfId="22">
      <totalsRowFormula>COUNTA(AA3:AA51)</totalsRowFormula>
    </tableColumn>
    <tableColumn id="28" xr3:uid="{D8FAF20A-322C-4C4C-BBDF-5909AE4C6FC7}" uniqueName="28" name="Strength8" totalsRowFunction="custom" queryTableFieldId="28" dataDxfId="21" totalsRowDxfId="20">
      <totalsRowFormula>COUNTA(AB3:AB51)</totalsRowFormula>
    </tableColumn>
    <tableColumn id="29" xr3:uid="{15E05570-1446-46D0-B914-BD79008DE58B}" uniqueName="29" name="Agi9" totalsRowFunction="custom" queryTableFieldId="29" dataDxfId="19" totalsRowDxfId="18">
      <totalsRowFormula>COUNTA(AC3:AC51)</totalsRowFormula>
    </tableColumn>
    <tableColumn id="30" xr3:uid="{3453DD9D-39CE-4CAF-B0D4-FB190C54CCB9}" uniqueName="30" name="Int10" totalsRowFunction="custom" queryTableFieldId="30" dataDxfId="17" totalsRowDxfId="16">
      <totalsRowFormula>COUNTA(AD3:AD51)</totalsRowFormula>
    </tableColumn>
    <tableColumn id="31" xr3:uid="{F8CA99E5-1C08-4A28-A988-D61A6C131A3C}" uniqueName="31" name="Vita11" totalsRowFunction="custom" queryTableFieldId="31" dataDxfId="15" totalsRowDxfId="14">
      <totalsRowFormula>COUNTA(AE3:AE51)</totalsRowFormula>
    </tableColumn>
    <tableColumn id="32" xr3:uid="{025CC216-3FEE-4922-B941-0F20F3DD8894}" uniqueName="32" name="Luck12" totalsRowFunction="custom" queryTableFieldId="32" dataDxfId="13" totalsRowDxfId="12">
      <totalsRowFormula>COUNTA(AF3:AF51)</totalsRowFormula>
    </tableColumn>
    <tableColumn id="33" xr3:uid="{CECAC69C-B8B3-4D3D-8976-E379865D63C4}" uniqueName="33" name="Health6" totalsRowFunction="custom" queryTableFieldId="33" dataDxfId="11" totalsRowDxfId="10">
      <totalsRowFormula>COUNTA(AG3:AG51)</totalsRowFormula>
    </tableColumn>
    <tableColumn id="34" xr3:uid="{5E73EE47-D74F-42A4-A7D0-462C9B4867F1}" uniqueName="34" name="Strength7" totalsRowFunction="custom" queryTableFieldId="34" dataDxfId="9" totalsRowDxfId="8">
      <totalsRowFormula>COUNTA(AH3:AH51)</totalsRowFormula>
    </tableColumn>
    <tableColumn id="35" xr3:uid="{EB91FFD7-D858-49BE-8874-C7914C06E349}" uniqueName="35" name="Agi8" totalsRowFunction="custom" queryTableFieldId="35" dataDxfId="7" totalsRowDxfId="6">
      <totalsRowFormula>COUNTA(AI3:AI51)</totalsRowFormula>
    </tableColumn>
    <tableColumn id="36" xr3:uid="{ABDFB794-9E6B-4260-B3BA-A3DAAACB7468}" uniqueName="36" name="Int9" totalsRowFunction="custom" queryTableFieldId="36" dataDxfId="5" totalsRowDxfId="4">
      <totalsRowFormula>COUNTA(AJ3:AJ51)</totalsRowFormula>
    </tableColumn>
    <tableColumn id="37" xr3:uid="{2F129026-A5CC-4749-BDF5-EE4134304C5F}" uniqueName="37" name="Vita10" totalsRowFunction="custom" queryTableFieldId="37" dataDxfId="3" totalsRowDxfId="2">
      <totalsRowFormula>COUNTA(AK3:AK51)</totalsRowFormula>
    </tableColumn>
    <tableColumn id="38" xr3:uid="{B187A813-64B5-48E4-91CD-2CA9FC1D2738}" uniqueName="38" name="Luck11" totalsRowFunction="custom" queryTableFieldId="38" dataDxfId="1" totalsRowDxfId="0">
      <totalsRowFormula>COUNTA(AL3:AL51)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F2B5-65CB-474E-8DCF-13CF0882A92B}">
  <dimension ref="A1:M1"/>
  <sheetViews>
    <sheetView workbookViewId="0">
      <selection activeCell="G2" sqref="G2"/>
    </sheetView>
  </sheetViews>
  <sheetFormatPr baseColWidth="10" defaultRowHeight="15" x14ac:dyDescent="0.25"/>
  <sheetData>
    <row r="1" spans="1:13" x14ac:dyDescent="0.25">
      <c r="A1" t="s">
        <v>87</v>
      </c>
      <c r="B1" t="s">
        <v>69</v>
      </c>
      <c r="C1" t="s">
        <v>70</v>
      </c>
      <c r="D1" t="s">
        <v>75</v>
      </c>
      <c r="E1" t="s">
        <v>68</v>
      </c>
      <c r="F1" t="s">
        <v>4</v>
      </c>
      <c r="G1" t="s">
        <v>19</v>
      </c>
      <c r="H1" t="s">
        <v>67</v>
      </c>
      <c r="I1" t="s">
        <v>71</v>
      </c>
      <c r="J1" t="s">
        <v>72</v>
      </c>
      <c r="K1" t="s">
        <v>73</v>
      </c>
      <c r="L1" t="s">
        <v>74</v>
      </c>
      <c r="M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74B7-7C8D-4CDA-B116-1656B1596DB3}">
  <dimension ref="A1:AN50"/>
  <sheetViews>
    <sheetView tabSelected="1" workbookViewId="0">
      <pane xSplit="1" ySplit="1" topLeftCell="T20" activePane="bottomRight" state="frozen"/>
      <selection pane="topRight" activeCell="B1" sqref="B1"/>
      <selection pane="bottomLeft" activeCell="A2" sqref="A2"/>
      <selection pane="bottomRight" activeCell="AN7" sqref="AN7"/>
    </sheetView>
  </sheetViews>
  <sheetFormatPr baseColWidth="10" defaultRowHeight="15" x14ac:dyDescent="0.25"/>
  <cols>
    <col min="1" max="1" width="19.5703125" customWidth="1"/>
    <col min="15" max="15" width="18.42578125" customWidth="1"/>
  </cols>
  <sheetData>
    <row r="1" spans="1:40" x14ac:dyDescent="0.25">
      <c r="A1" t="s">
        <v>0</v>
      </c>
      <c r="B1" t="s">
        <v>361</v>
      </c>
      <c r="C1" t="s">
        <v>1</v>
      </c>
      <c r="D1" t="s">
        <v>2</v>
      </c>
      <c r="E1" t="s">
        <v>17</v>
      </c>
      <c r="F1" t="s">
        <v>3</v>
      </c>
      <c r="G1" t="s">
        <v>90</v>
      </c>
      <c r="H1" t="s">
        <v>4</v>
      </c>
      <c r="I1" t="s">
        <v>19</v>
      </c>
      <c r="J1" t="s">
        <v>67</v>
      </c>
      <c r="K1" t="s">
        <v>71</v>
      </c>
      <c r="L1" t="s">
        <v>72</v>
      </c>
      <c r="M1" t="s">
        <v>73</v>
      </c>
      <c r="N1" t="s">
        <v>74</v>
      </c>
      <c r="O1" t="s">
        <v>398</v>
      </c>
      <c r="P1" t="s">
        <v>394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30</v>
      </c>
      <c r="AH1" t="s">
        <v>31</v>
      </c>
      <c r="AI1" t="s">
        <v>32</v>
      </c>
      <c r="AJ1" t="s">
        <v>33</v>
      </c>
      <c r="AK1" t="s">
        <v>27</v>
      </c>
      <c r="AL1" t="s">
        <v>26</v>
      </c>
      <c r="AM1" t="s">
        <v>28</v>
      </c>
      <c r="AN1" t="s">
        <v>29</v>
      </c>
    </row>
    <row r="2" spans="1:40" x14ac:dyDescent="0.25">
      <c r="A2" t="s">
        <v>358</v>
      </c>
      <c r="B2">
        <v>5</v>
      </c>
      <c r="C2">
        <v>10</v>
      </c>
      <c r="G2">
        <v>5</v>
      </c>
      <c r="H2">
        <v>5</v>
      </c>
      <c r="I2" t="s">
        <v>51</v>
      </c>
      <c r="O2" t="s">
        <v>166</v>
      </c>
      <c r="Q2" t="s">
        <v>110</v>
      </c>
      <c r="R2" t="s">
        <v>110</v>
      </c>
      <c r="S2" t="s">
        <v>110</v>
      </c>
      <c r="T2" t="s">
        <v>110</v>
      </c>
      <c r="U2" t="s">
        <v>110</v>
      </c>
      <c r="V2" t="s">
        <v>110</v>
      </c>
      <c r="W2" t="s">
        <v>110</v>
      </c>
      <c r="X2" t="s">
        <v>110</v>
      </c>
      <c r="AC2" t="s">
        <v>110</v>
      </c>
      <c r="AD2" t="s">
        <v>110</v>
      </c>
      <c r="AE2" t="s">
        <v>110</v>
      </c>
      <c r="AF2" t="s">
        <v>110</v>
      </c>
      <c r="AJ2" t="s">
        <v>110</v>
      </c>
      <c r="AK2" t="s">
        <v>110</v>
      </c>
      <c r="AL2" t="s">
        <v>110</v>
      </c>
      <c r="AM2" t="s">
        <v>110</v>
      </c>
      <c r="AN2" t="s">
        <v>110</v>
      </c>
    </row>
    <row r="3" spans="1:40" x14ac:dyDescent="0.25">
      <c r="A3" t="s">
        <v>51</v>
      </c>
      <c r="B3">
        <v>7</v>
      </c>
      <c r="C3">
        <v>10</v>
      </c>
      <c r="G3">
        <v>5</v>
      </c>
      <c r="H3">
        <v>175</v>
      </c>
      <c r="I3" t="s">
        <v>51</v>
      </c>
      <c r="O3" t="s">
        <v>166</v>
      </c>
      <c r="Q3" t="s">
        <v>110</v>
      </c>
      <c r="R3" t="s">
        <v>110</v>
      </c>
      <c r="S3" t="s">
        <v>110</v>
      </c>
      <c r="T3" t="s">
        <v>110</v>
      </c>
      <c r="U3" t="s">
        <v>110</v>
      </c>
      <c r="V3" t="s">
        <v>110</v>
      </c>
      <c r="W3" t="s">
        <v>110</v>
      </c>
      <c r="X3" t="s">
        <v>110</v>
      </c>
      <c r="AC3" t="s">
        <v>110</v>
      </c>
      <c r="AD3" t="s">
        <v>110</v>
      </c>
      <c r="AE3" t="s">
        <v>110</v>
      </c>
      <c r="AF3" t="s">
        <v>110</v>
      </c>
      <c r="AJ3" t="s">
        <v>110</v>
      </c>
      <c r="AK3" t="s">
        <v>110</v>
      </c>
      <c r="AL3" t="s">
        <v>110</v>
      </c>
      <c r="AM3" t="s">
        <v>110</v>
      </c>
      <c r="AN3" t="s">
        <v>110</v>
      </c>
    </row>
    <row r="4" spans="1:40" x14ac:dyDescent="0.25">
      <c r="A4" t="s">
        <v>359</v>
      </c>
      <c r="B4">
        <v>10</v>
      </c>
      <c r="C4">
        <v>15</v>
      </c>
      <c r="G4">
        <v>5</v>
      </c>
      <c r="H4">
        <v>800</v>
      </c>
      <c r="I4" t="s">
        <v>51</v>
      </c>
      <c r="O4" t="s">
        <v>166</v>
      </c>
      <c r="Q4" t="s">
        <v>110</v>
      </c>
      <c r="R4" t="s">
        <v>110</v>
      </c>
      <c r="S4" t="s">
        <v>110</v>
      </c>
      <c r="T4" t="s">
        <v>110</v>
      </c>
      <c r="U4" t="s">
        <v>110</v>
      </c>
      <c r="V4" t="s">
        <v>110</v>
      </c>
      <c r="W4" t="s">
        <v>110</v>
      </c>
      <c r="X4" t="s">
        <v>110</v>
      </c>
      <c r="AC4" t="s">
        <v>110</v>
      </c>
      <c r="AD4" t="s">
        <v>110</v>
      </c>
      <c r="AE4" t="s">
        <v>110</v>
      </c>
      <c r="AF4" t="s">
        <v>110</v>
      </c>
      <c r="AJ4" t="s">
        <v>110</v>
      </c>
      <c r="AK4" t="s">
        <v>110</v>
      </c>
      <c r="AL4" t="s">
        <v>110</v>
      </c>
      <c r="AM4" t="s">
        <v>110</v>
      </c>
      <c r="AN4" t="s">
        <v>110</v>
      </c>
    </row>
    <row r="5" spans="1:40" s="20" customFormat="1" x14ac:dyDescent="0.25">
      <c r="A5" s="20" t="s">
        <v>360</v>
      </c>
      <c r="B5" s="20">
        <v>22</v>
      </c>
      <c r="C5" s="20">
        <v>35</v>
      </c>
      <c r="G5" s="20">
        <v>5</v>
      </c>
      <c r="H5" s="20">
        <v>65000</v>
      </c>
      <c r="I5" s="20" t="s">
        <v>51</v>
      </c>
      <c r="O5" s="20" t="s">
        <v>166</v>
      </c>
      <c r="S5" s="20" t="s">
        <v>110</v>
      </c>
      <c r="T5" s="20" t="s">
        <v>110</v>
      </c>
      <c r="W5" s="20" t="s">
        <v>110</v>
      </c>
      <c r="X5" s="20" t="s">
        <v>110</v>
      </c>
      <c r="AD5" s="20" t="s">
        <v>110</v>
      </c>
      <c r="AE5" s="20" t="s">
        <v>110</v>
      </c>
      <c r="AJ5" s="20" t="s">
        <v>110</v>
      </c>
      <c r="AL5" s="20" t="s">
        <v>110</v>
      </c>
      <c r="AM5" s="20" t="s">
        <v>110</v>
      </c>
    </row>
    <row r="6" spans="1:40" x14ac:dyDescent="0.25">
      <c r="A6" t="s">
        <v>362</v>
      </c>
      <c r="B6">
        <v>9</v>
      </c>
      <c r="C6">
        <v>5</v>
      </c>
      <c r="G6">
        <v>10</v>
      </c>
      <c r="H6">
        <v>10</v>
      </c>
      <c r="I6" t="s">
        <v>47</v>
      </c>
      <c r="O6" t="s">
        <v>166</v>
      </c>
      <c r="Q6" t="s">
        <v>110</v>
      </c>
      <c r="R6" t="s">
        <v>110</v>
      </c>
      <c r="S6" t="s">
        <v>110</v>
      </c>
      <c r="T6" t="s">
        <v>110</v>
      </c>
      <c r="U6" s="21" t="s">
        <v>110</v>
      </c>
      <c r="V6" s="21" t="s">
        <v>110</v>
      </c>
      <c r="W6" s="21" t="s">
        <v>110</v>
      </c>
      <c r="X6" s="21" t="s">
        <v>110</v>
      </c>
      <c r="AC6" t="s">
        <v>110</v>
      </c>
      <c r="AD6" t="s">
        <v>110</v>
      </c>
      <c r="AE6" t="s">
        <v>110</v>
      </c>
      <c r="AF6" t="s">
        <v>110</v>
      </c>
      <c r="AI6" t="s">
        <v>110</v>
      </c>
    </row>
    <row r="7" spans="1:40" x14ac:dyDescent="0.25">
      <c r="A7" t="s">
        <v>363</v>
      </c>
      <c r="B7">
        <v>13</v>
      </c>
      <c r="C7">
        <v>5</v>
      </c>
      <c r="G7">
        <v>10</v>
      </c>
      <c r="H7">
        <v>200</v>
      </c>
      <c r="I7" t="s">
        <v>47</v>
      </c>
      <c r="O7" t="s">
        <v>166</v>
      </c>
      <c r="Q7" t="s">
        <v>110</v>
      </c>
      <c r="R7" t="s">
        <v>110</v>
      </c>
      <c r="S7" t="s">
        <v>110</v>
      </c>
      <c r="T7" t="s">
        <v>110</v>
      </c>
      <c r="U7" s="21" t="s">
        <v>110</v>
      </c>
      <c r="V7" s="21" t="s">
        <v>110</v>
      </c>
      <c r="W7" s="21" t="s">
        <v>110</v>
      </c>
      <c r="X7" s="21" t="s">
        <v>110</v>
      </c>
      <c r="AC7" t="s">
        <v>110</v>
      </c>
      <c r="AD7" t="s">
        <v>110</v>
      </c>
      <c r="AE7" t="s">
        <v>110</v>
      </c>
      <c r="AF7" t="s">
        <v>110</v>
      </c>
      <c r="AI7" t="s">
        <v>110</v>
      </c>
    </row>
    <row r="8" spans="1:40" x14ac:dyDescent="0.25">
      <c r="A8" t="s">
        <v>368</v>
      </c>
      <c r="B8">
        <v>15</v>
      </c>
      <c r="C8">
        <v>10</v>
      </c>
      <c r="G8">
        <v>10</v>
      </c>
      <c r="H8">
        <v>550</v>
      </c>
      <c r="I8" t="s">
        <v>47</v>
      </c>
      <c r="O8" t="s">
        <v>166</v>
      </c>
      <c r="Q8" t="s">
        <v>110</v>
      </c>
      <c r="R8" t="s">
        <v>110</v>
      </c>
      <c r="S8" t="s">
        <v>110</v>
      </c>
      <c r="T8" t="s">
        <v>110</v>
      </c>
      <c r="AC8" t="s">
        <v>110</v>
      </c>
      <c r="AD8" t="s">
        <v>110</v>
      </c>
      <c r="AE8" t="s">
        <v>110</v>
      </c>
      <c r="AF8" t="s">
        <v>110</v>
      </c>
      <c r="AI8" t="s">
        <v>110</v>
      </c>
    </row>
    <row r="9" spans="1:40" x14ac:dyDescent="0.25">
      <c r="A9" t="s">
        <v>372</v>
      </c>
      <c r="B9">
        <v>18</v>
      </c>
      <c r="C9">
        <v>15</v>
      </c>
      <c r="G9">
        <v>10</v>
      </c>
      <c r="H9">
        <v>6000</v>
      </c>
      <c r="I9" t="s">
        <v>47</v>
      </c>
      <c r="O9" t="s">
        <v>156</v>
      </c>
      <c r="Q9" t="s">
        <v>110</v>
      </c>
      <c r="R9" t="s">
        <v>110</v>
      </c>
      <c r="S9" t="s">
        <v>110</v>
      </c>
      <c r="T9" t="s">
        <v>110</v>
      </c>
      <c r="AC9" t="s">
        <v>110</v>
      </c>
      <c r="AD9" t="s">
        <v>110</v>
      </c>
      <c r="AE9" t="s">
        <v>110</v>
      </c>
      <c r="AF9" t="s">
        <v>110</v>
      </c>
      <c r="AI9" t="s">
        <v>110</v>
      </c>
    </row>
    <row r="10" spans="1:40" x14ac:dyDescent="0.25">
      <c r="A10" t="s">
        <v>365</v>
      </c>
      <c r="B10">
        <v>18</v>
      </c>
      <c r="C10">
        <v>15</v>
      </c>
      <c r="G10">
        <v>10</v>
      </c>
      <c r="H10">
        <v>5000</v>
      </c>
      <c r="I10" t="s">
        <v>47</v>
      </c>
      <c r="O10" t="s">
        <v>156</v>
      </c>
      <c r="Q10" t="s">
        <v>110</v>
      </c>
      <c r="R10" t="s">
        <v>110</v>
      </c>
      <c r="S10" t="s">
        <v>110</v>
      </c>
      <c r="T10" t="s">
        <v>110</v>
      </c>
      <c r="U10" t="s">
        <v>110</v>
      </c>
      <c r="V10" t="s">
        <v>110</v>
      </c>
      <c r="W10" t="s">
        <v>110</v>
      </c>
      <c r="X10" t="s">
        <v>110</v>
      </c>
      <c r="AC10" t="s">
        <v>110</v>
      </c>
      <c r="AD10" t="s">
        <v>110</v>
      </c>
      <c r="AE10" t="s">
        <v>110</v>
      </c>
      <c r="AF10" t="s">
        <v>110</v>
      </c>
      <c r="AI10" t="s">
        <v>110</v>
      </c>
    </row>
    <row r="11" spans="1:40" x14ac:dyDescent="0.25">
      <c r="A11" t="s">
        <v>371</v>
      </c>
      <c r="B11">
        <v>19</v>
      </c>
      <c r="C11">
        <v>15</v>
      </c>
      <c r="G11">
        <v>10</v>
      </c>
      <c r="H11">
        <v>8000</v>
      </c>
      <c r="I11" t="s">
        <v>47</v>
      </c>
      <c r="O11" t="s">
        <v>156</v>
      </c>
      <c r="Q11" t="s">
        <v>110</v>
      </c>
      <c r="R11" t="s">
        <v>110</v>
      </c>
      <c r="S11" t="s">
        <v>110</v>
      </c>
      <c r="T11" t="s">
        <v>110</v>
      </c>
      <c r="U11" t="s">
        <v>110</v>
      </c>
      <c r="V11" t="s">
        <v>110</v>
      </c>
      <c r="W11" t="s">
        <v>110</v>
      </c>
      <c r="X11" t="s">
        <v>110</v>
      </c>
      <c r="AC11" t="s">
        <v>110</v>
      </c>
      <c r="AD11" t="s">
        <v>110</v>
      </c>
      <c r="AE11" t="s">
        <v>110</v>
      </c>
      <c r="AF11" t="s">
        <v>110</v>
      </c>
      <c r="AI11" t="s">
        <v>110</v>
      </c>
    </row>
    <row r="12" spans="1:40" x14ac:dyDescent="0.25">
      <c r="A12" t="s">
        <v>366</v>
      </c>
      <c r="B12">
        <v>19</v>
      </c>
      <c r="C12">
        <v>15</v>
      </c>
      <c r="G12">
        <v>10</v>
      </c>
      <c r="H12">
        <v>8000</v>
      </c>
      <c r="I12" t="s">
        <v>47</v>
      </c>
      <c r="O12" t="s">
        <v>156</v>
      </c>
      <c r="Q12" t="s">
        <v>110</v>
      </c>
      <c r="R12" t="s">
        <v>110</v>
      </c>
      <c r="S12" t="s">
        <v>110</v>
      </c>
      <c r="T12" t="s">
        <v>110</v>
      </c>
      <c r="U12" t="s">
        <v>110</v>
      </c>
      <c r="V12" t="s">
        <v>110</v>
      </c>
      <c r="W12" t="s">
        <v>110</v>
      </c>
      <c r="X12" t="s">
        <v>110</v>
      </c>
      <c r="AC12" t="s">
        <v>110</v>
      </c>
      <c r="AD12" t="s">
        <v>110</v>
      </c>
      <c r="AE12" t="s">
        <v>110</v>
      </c>
      <c r="AF12" t="s">
        <v>110</v>
      </c>
      <c r="AI12" t="s">
        <v>110</v>
      </c>
    </row>
    <row r="13" spans="1:40" x14ac:dyDescent="0.25">
      <c r="A13" t="s">
        <v>367</v>
      </c>
      <c r="B13">
        <v>20</v>
      </c>
      <c r="C13">
        <v>10</v>
      </c>
      <c r="G13">
        <v>10</v>
      </c>
      <c r="H13">
        <v>1500</v>
      </c>
      <c r="I13" t="s">
        <v>47</v>
      </c>
      <c r="O13" t="s">
        <v>166</v>
      </c>
      <c r="Q13" t="s">
        <v>110</v>
      </c>
      <c r="R13" t="s">
        <v>110</v>
      </c>
      <c r="S13" t="s">
        <v>110</v>
      </c>
      <c r="T13" t="s">
        <v>110</v>
      </c>
      <c r="W13" t="s">
        <v>110</v>
      </c>
      <c r="X13" t="s">
        <v>110</v>
      </c>
      <c r="AC13" t="s">
        <v>110</v>
      </c>
      <c r="AD13" t="s">
        <v>110</v>
      </c>
      <c r="AE13" t="s">
        <v>110</v>
      </c>
      <c r="AF13" t="s">
        <v>110</v>
      </c>
      <c r="AI13" t="s">
        <v>110</v>
      </c>
    </row>
    <row r="14" spans="1:40" x14ac:dyDescent="0.25">
      <c r="A14" t="s">
        <v>369</v>
      </c>
      <c r="B14">
        <v>21</v>
      </c>
      <c r="C14">
        <v>20</v>
      </c>
      <c r="G14">
        <v>10</v>
      </c>
      <c r="H14">
        <v>8000</v>
      </c>
      <c r="I14" t="s">
        <v>47</v>
      </c>
      <c r="O14" t="s">
        <v>156</v>
      </c>
      <c r="Q14" t="s">
        <v>110</v>
      </c>
      <c r="R14" t="s">
        <v>110</v>
      </c>
      <c r="S14" t="s">
        <v>110</v>
      </c>
      <c r="T14" t="s">
        <v>110</v>
      </c>
      <c r="W14" t="s">
        <v>110</v>
      </c>
      <c r="X14" t="s">
        <v>110</v>
      </c>
      <c r="AC14" t="s">
        <v>110</v>
      </c>
      <c r="AD14" t="s">
        <v>110</v>
      </c>
      <c r="AE14" t="s">
        <v>110</v>
      </c>
      <c r="AF14" t="s">
        <v>110</v>
      </c>
      <c r="AM14" t="s">
        <v>110</v>
      </c>
    </row>
    <row r="15" spans="1:40" x14ac:dyDescent="0.25">
      <c r="A15" t="s">
        <v>370</v>
      </c>
      <c r="B15">
        <v>22</v>
      </c>
      <c r="C15">
        <v>20</v>
      </c>
      <c r="G15">
        <v>10</v>
      </c>
      <c r="H15">
        <v>60000</v>
      </c>
      <c r="I15" t="s">
        <v>47</v>
      </c>
      <c r="O15" t="s">
        <v>156</v>
      </c>
      <c r="S15" t="s">
        <v>110</v>
      </c>
      <c r="T15" t="s">
        <v>110</v>
      </c>
      <c r="V15" t="s">
        <v>110</v>
      </c>
      <c r="W15" t="s">
        <v>110</v>
      </c>
      <c r="X15" t="s">
        <v>110</v>
      </c>
      <c r="AD15" t="s">
        <v>110</v>
      </c>
      <c r="AE15" t="s">
        <v>110</v>
      </c>
    </row>
    <row r="16" spans="1:40" x14ac:dyDescent="0.25">
      <c r="A16" t="s">
        <v>378</v>
      </c>
      <c r="B16">
        <v>23</v>
      </c>
      <c r="C16">
        <v>15</v>
      </c>
      <c r="G16">
        <v>10</v>
      </c>
      <c r="H16">
        <v>4000</v>
      </c>
      <c r="I16" t="s">
        <v>47</v>
      </c>
      <c r="O16" t="s">
        <v>166</v>
      </c>
      <c r="Q16" t="s">
        <v>110</v>
      </c>
      <c r="R16" t="s">
        <v>110</v>
      </c>
      <c r="S16" t="s">
        <v>110</v>
      </c>
      <c r="T16" t="s">
        <v>110</v>
      </c>
      <c r="W16" t="s">
        <v>110</v>
      </c>
      <c r="X16" t="s">
        <v>110</v>
      </c>
      <c r="AC16" t="s">
        <v>110</v>
      </c>
      <c r="AD16" t="s">
        <v>110</v>
      </c>
      <c r="AE16" t="s">
        <v>110</v>
      </c>
      <c r="AF16" t="s">
        <v>110</v>
      </c>
      <c r="AI16" t="s">
        <v>110</v>
      </c>
    </row>
    <row r="17" spans="1:40" x14ac:dyDescent="0.25">
      <c r="A17" t="s">
        <v>364</v>
      </c>
      <c r="B17">
        <v>24</v>
      </c>
      <c r="C17">
        <v>25</v>
      </c>
      <c r="G17">
        <v>30</v>
      </c>
      <c r="H17">
        <v>30000</v>
      </c>
      <c r="I17" t="s">
        <v>47</v>
      </c>
      <c r="O17" t="s">
        <v>156</v>
      </c>
      <c r="R17" t="s">
        <v>110</v>
      </c>
      <c r="S17" t="s">
        <v>110</v>
      </c>
      <c r="T17" t="s">
        <v>110</v>
      </c>
      <c r="W17" t="s">
        <v>110</v>
      </c>
      <c r="X17" t="s">
        <v>110</v>
      </c>
      <c r="AB17" t="s">
        <v>110</v>
      </c>
      <c r="AD17" t="s">
        <v>110</v>
      </c>
      <c r="AE17" t="s">
        <v>110</v>
      </c>
      <c r="AI17" t="s">
        <v>110</v>
      </c>
    </row>
    <row r="18" spans="1:40" x14ac:dyDescent="0.25">
      <c r="A18" t="s">
        <v>373</v>
      </c>
      <c r="B18">
        <v>26</v>
      </c>
      <c r="C18">
        <v>20</v>
      </c>
      <c r="D18" t="s">
        <v>34</v>
      </c>
      <c r="F18" t="s">
        <v>396</v>
      </c>
      <c r="G18">
        <v>10</v>
      </c>
      <c r="H18">
        <v>10000</v>
      </c>
      <c r="I18" t="s">
        <v>47</v>
      </c>
      <c r="O18" t="s">
        <v>156</v>
      </c>
      <c r="Q18" t="s">
        <v>110</v>
      </c>
      <c r="R18" t="s">
        <v>110</v>
      </c>
      <c r="S18" t="s">
        <v>110</v>
      </c>
      <c r="T18" t="s">
        <v>110</v>
      </c>
      <c r="W18" t="s">
        <v>110</v>
      </c>
      <c r="X18" t="s">
        <v>110</v>
      </c>
      <c r="AB18" t="s">
        <v>110</v>
      </c>
      <c r="AC18" t="s">
        <v>110</v>
      </c>
      <c r="AD18" t="s">
        <v>110</v>
      </c>
      <c r="AE18" t="s">
        <v>110</v>
      </c>
      <c r="AF18" t="s">
        <v>110</v>
      </c>
      <c r="AI18" t="s">
        <v>110</v>
      </c>
    </row>
    <row r="19" spans="1:40" x14ac:dyDescent="0.25">
      <c r="A19" t="s">
        <v>374</v>
      </c>
      <c r="B19">
        <v>29</v>
      </c>
      <c r="C19">
        <v>25</v>
      </c>
      <c r="D19" t="s">
        <v>36</v>
      </c>
      <c r="G19">
        <v>10</v>
      </c>
      <c r="H19">
        <v>15000</v>
      </c>
      <c r="I19" t="s">
        <v>47</v>
      </c>
      <c r="O19" t="s">
        <v>156</v>
      </c>
      <c r="Q19" t="s">
        <v>110</v>
      </c>
      <c r="R19" t="s">
        <v>110</v>
      </c>
      <c r="S19" t="s">
        <v>110</v>
      </c>
      <c r="T19" t="s">
        <v>110</v>
      </c>
      <c r="W19" t="s">
        <v>110</v>
      </c>
      <c r="X19" t="s">
        <v>110</v>
      </c>
      <c r="AB19" t="s">
        <v>110</v>
      </c>
      <c r="AC19" t="s">
        <v>110</v>
      </c>
      <c r="AD19" t="s">
        <v>110</v>
      </c>
      <c r="AE19" t="s">
        <v>110</v>
      </c>
      <c r="AF19" t="s">
        <v>110</v>
      </c>
      <c r="AI19" t="s">
        <v>110</v>
      </c>
    </row>
    <row r="20" spans="1:40" x14ac:dyDescent="0.25">
      <c r="A20" t="s">
        <v>375</v>
      </c>
      <c r="B20">
        <v>30</v>
      </c>
      <c r="C20">
        <v>35</v>
      </c>
      <c r="G20">
        <v>10</v>
      </c>
      <c r="H20">
        <v>40000</v>
      </c>
      <c r="I20" t="s">
        <v>47</v>
      </c>
      <c r="O20" t="s">
        <v>156</v>
      </c>
      <c r="R20" t="s">
        <v>110</v>
      </c>
      <c r="S20" t="s">
        <v>110</v>
      </c>
      <c r="V20" t="s">
        <v>110</v>
      </c>
      <c r="W20" t="s">
        <v>110</v>
      </c>
      <c r="AD20" t="s">
        <v>110</v>
      </c>
      <c r="AE20" t="s">
        <v>110</v>
      </c>
      <c r="AI20" t="s">
        <v>110</v>
      </c>
    </row>
    <row r="21" spans="1:40" x14ac:dyDescent="0.25">
      <c r="A21" t="s">
        <v>376</v>
      </c>
      <c r="B21">
        <v>32</v>
      </c>
      <c r="C21">
        <v>30</v>
      </c>
      <c r="D21" t="s">
        <v>34</v>
      </c>
      <c r="F21" t="s">
        <v>396</v>
      </c>
      <c r="G21">
        <v>10</v>
      </c>
      <c r="H21">
        <v>20000</v>
      </c>
      <c r="I21" t="s">
        <v>47</v>
      </c>
      <c r="O21" t="s">
        <v>156</v>
      </c>
      <c r="R21" t="s">
        <v>110</v>
      </c>
      <c r="S21" t="s">
        <v>110</v>
      </c>
      <c r="T21" t="s">
        <v>110</v>
      </c>
      <c r="W21" t="s">
        <v>110</v>
      </c>
      <c r="AB21" t="s">
        <v>110</v>
      </c>
      <c r="AC21" t="s">
        <v>110</v>
      </c>
      <c r="AD21" t="s">
        <v>110</v>
      </c>
      <c r="AE21" t="s">
        <v>110</v>
      </c>
      <c r="AF21" t="s">
        <v>110</v>
      </c>
      <c r="AI21" t="s">
        <v>110</v>
      </c>
    </row>
    <row r="22" spans="1:40" s="20" customFormat="1" x14ac:dyDescent="0.25">
      <c r="A22" s="20" t="s">
        <v>377</v>
      </c>
      <c r="B22" s="20">
        <v>45</v>
      </c>
      <c r="C22" s="20">
        <v>35</v>
      </c>
      <c r="D22" s="20" t="s">
        <v>142</v>
      </c>
      <c r="F22" s="20" t="s">
        <v>397</v>
      </c>
      <c r="G22" s="20">
        <v>10</v>
      </c>
      <c r="H22" s="20">
        <v>60000</v>
      </c>
      <c r="I22" s="20" t="s">
        <v>47</v>
      </c>
      <c r="O22" s="20" t="s">
        <v>156</v>
      </c>
      <c r="R22" s="20" t="s">
        <v>110</v>
      </c>
    </row>
    <row r="23" spans="1:40" x14ac:dyDescent="0.25">
      <c r="A23" t="s">
        <v>380</v>
      </c>
      <c r="B23">
        <v>10</v>
      </c>
      <c r="C23">
        <v>10</v>
      </c>
      <c r="G23">
        <v>10</v>
      </c>
      <c r="H23">
        <v>200</v>
      </c>
      <c r="I23" t="s">
        <v>54</v>
      </c>
      <c r="O23" t="s">
        <v>166</v>
      </c>
      <c r="Q23" t="s">
        <v>110</v>
      </c>
      <c r="R23" s="21" t="s">
        <v>110</v>
      </c>
      <c r="S23" s="21" t="s">
        <v>110</v>
      </c>
      <c r="T23" s="21" t="s">
        <v>110</v>
      </c>
      <c r="U23" s="21" t="s">
        <v>110</v>
      </c>
      <c r="V23" s="21" t="s">
        <v>110</v>
      </c>
      <c r="W23" s="21" t="s">
        <v>110</v>
      </c>
      <c r="X23" s="21" t="s">
        <v>110</v>
      </c>
      <c r="AB23" s="21" t="s">
        <v>110</v>
      </c>
      <c r="AC23" s="21" t="s">
        <v>110</v>
      </c>
      <c r="AD23" s="21" t="s">
        <v>110</v>
      </c>
      <c r="AE23" s="21" t="s">
        <v>110</v>
      </c>
      <c r="AF23" s="21" t="s">
        <v>110</v>
      </c>
      <c r="AI23" s="21" t="s">
        <v>110</v>
      </c>
    </row>
    <row r="24" spans="1:40" x14ac:dyDescent="0.25">
      <c r="A24" t="s">
        <v>381</v>
      </c>
      <c r="B24">
        <v>15</v>
      </c>
      <c r="C24">
        <v>10</v>
      </c>
      <c r="G24">
        <v>10</v>
      </c>
      <c r="H24">
        <v>450</v>
      </c>
      <c r="I24" t="s">
        <v>54</v>
      </c>
      <c r="O24" t="s">
        <v>166</v>
      </c>
      <c r="Q24" t="s">
        <v>110</v>
      </c>
      <c r="R24" s="21" t="s">
        <v>110</v>
      </c>
      <c r="S24" s="21" t="s">
        <v>110</v>
      </c>
      <c r="T24" s="21" t="s">
        <v>110</v>
      </c>
      <c r="U24" s="21" t="s">
        <v>110</v>
      </c>
      <c r="V24" s="21" t="s">
        <v>110</v>
      </c>
      <c r="W24" s="21" t="s">
        <v>110</v>
      </c>
      <c r="X24" s="21" t="s">
        <v>110</v>
      </c>
      <c r="AB24" t="s">
        <v>110</v>
      </c>
      <c r="AC24" s="21" t="s">
        <v>110</v>
      </c>
      <c r="AD24" s="21" t="s">
        <v>110</v>
      </c>
      <c r="AE24" s="21" t="s">
        <v>110</v>
      </c>
      <c r="AF24" s="21" t="s">
        <v>110</v>
      </c>
      <c r="AI24" t="s">
        <v>110</v>
      </c>
    </row>
    <row r="25" spans="1:40" x14ac:dyDescent="0.25">
      <c r="A25" t="s">
        <v>54</v>
      </c>
      <c r="B25">
        <v>33</v>
      </c>
      <c r="C25">
        <v>35</v>
      </c>
      <c r="G25">
        <v>50</v>
      </c>
      <c r="H25">
        <v>60000</v>
      </c>
      <c r="I25" t="s">
        <v>54</v>
      </c>
      <c r="O25" t="s">
        <v>156</v>
      </c>
      <c r="W25" s="21"/>
      <c r="X25" s="21" t="s">
        <v>110</v>
      </c>
      <c r="AB25" t="s">
        <v>110</v>
      </c>
      <c r="AI25" t="s">
        <v>110</v>
      </c>
    </row>
    <row r="26" spans="1:40" s="20" customFormat="1" x14ac:dyDescent="0.25">
      <c r="A26" s="20" t="s">
        <v>382</v>
      </c>
      <c r="B26" s="20">
        <v>60</v>
      </c>
      <c r="C26" s="20">
        <v>50</v>
      </c>
      <c r="G26" s="20">
        <v>20</v>
      </c>
      <c r="H26" s="20">
        <v>60000</v>
      </c>
      <c r="I26" s="20" t="s">
        <v>54</v>
      </c>
      <c r="O26" s="20" t="s">
        <v>156</v>
      </c>
      <c r="Q26" s="20" t="s">
        <v>110</v>
      </c>
      <c r="R26" s="20" t="s">
        <v>110</v>
      </c>
      <c r="S26" s="20" t="s">
        <v>110</v>
      </c>
      <c r="T26" s="20" t="s">
        <v>110</v>
      </c>
      <c r="U26" s="20" t="s">
        <v>110</v>
      </c>
      <c r="V26" s="20" t="s">
        <v>110</v>
      </c>
      <c r="W26" s="20" t="s">
        <v>110</v>
      </c>
      <c r="X26" s="20" t="s">
        <v>110</v>
      </c>
      <c r="Y26" s="20" t="s">
        <v>110</v>
      </c>
      <c r="Z26" s="20" t="s">
        <v>110</v>
      </c>
      <c r="AA26" s="20" t="s">
        <v>110</v>
      </c>
      <c r="AB26" s="20" t="s">
        <v>110</v>
      </c>
      <c r="AC26" s="20" t="s">
        <v>110</v>
      </c>
      <c r="AD26" s="20" t="s">
        <v>110</v>
      </c>
      <c r="AE26" s="20" t="s">
        <v>110</v>
      </c>
      <c r="AF26" s="20" t="s">
        <v>110</v>
      </c>
      <c r="AG26" s="20" t="s">
        <v>110</v>
      </c>
      <c r="AH26" s="20" t="s">
        <v>110</v>
      </c>
      <c r="AI26" s="20" t="s">
        <v>110</v>
      </c>
      <c r="AJ26" s="20" t="s">
        <v>110</v>
      </c>
      <c r="AK26" s="20" t="s">
        <v>110</v>
      </c>
      <c r="AL26" s="20" t="s">
        <v>110</v>
      </c>
      <c r="AM26" s="20" t="s">
        <v>110</v>
      </c>
      <c r="AN26" s="20" t="s">
        <v>110</v>
      </c>
    </row>
    <row r="27" spans="1:40" x14ac:dyDescent="0.25">
      <c r="A27" t="s">
        <v>383</v>
      </c>
      <c r="B27">
        <v>12</v>
      </c>
      <c r="C27">
        <v>0</v>
      </c>
      <c r="G27">
        <v>2</v>
      </c>
      <c r="H27">
        <v>10</v>
      </c>
      <c r="I27" t="s">
        <v>53</v>
      </c>
      <c r="O27" t="s">
        <v>166</v>
      </c>
      <c r="X27" s="21" t="s">
        <v>110</v>
      </c>
      <c r="Y27" t="s">
        <v>110</v>
      </c>
      <c r="Z27" s="21" t="s">
        <v>110</v>
      </c>
      <c r="AA27" s="21" t="s">
        <v>110</v>
      </c>
      <c r="AB27" s="21" t="s">
        <v>110</v>
      </c>
    </row>
    <row r="28" spans="1:40" s="20" customFormat="1" x14ac:dyDescent="0.25">
      <c r="A28" s="20" t="s">
        <v>393</v>
      </c>
      <c r="B28" s="20">
        <v>16</v>
      </c>
      <c r="C28" s="20">
        <v>0</v>
      </c>
      <c r="G28" s="20">
        <v>2</v>
      </c>
      <c r="H28" s="20">
        <v>200</v>
      </c>
      <c r="I28" s="20" t="s">
        <v>53</v>
      </c>
      <c r="O28" s="20" t="s">
        <v>166</v>
      </c>
      <c r="X28" s="20" t="s">
        <v>110</v>
      </c>
      <c r="Y28" s="20" t="s">
        <v>110</v>
      </c>
      <c r="Z28" s="20" t="s">
        <v>110</v>
      </c>
      <c r="AA28" s="20" t="s">
        <v>110</v>
      </c>
      <c r="AB28" s="20" t="s">
        <v>110</v>
      </c>
    </row>
    <row r="29" spans="1:40" x14ac:dyDescent="0.25">
      <c r="A29" t="s">
        <v>48</v>
      </c>
      <c r="B29">
        <v>16</v>
      </c>
      <c r="C29">
        <v>5</v>
      </c>
      <c r="G29">
        <v>15</v>
      </c>
      <c r="H29">
        <v>550</v>
      </c>
      <c r="I29" t="s">
        <v>48</v>
      </c>
      <c r="O29" t="s">
        <v>166</v>
      </c>
      <c r="Q29" t="s">
        <v>110</v>
      </c>
      <c r="R29" t="s">
        <v>110</v>
      </c>
      <c r="S29" t="s">
        <v>110</v>
      </c>
      <c r="T29" t="s">
        <v>110</v>
      </c>
      <c r="AJ29" t="s">
        <v>110</v>
      </c>
      <c r="AM29" t="s">
        <v>110</v>
      </c>
    </row>
    <row r="30" spans="1:40" x14ac:dyDescent="0.25">
      <c r="A30" t="s">
        <v>384</v>
      </c>
      <c r="B30">
        <v>22</v>
      </c>
      <c r="C30">
        <v>5</v>
      </c>
      <c r="G30">
        <v>15</v>
      </c>
      <c r="H30">
        <v>2000</v>
      </c>
      <c r="I30" t="s">
        <v>48</v>
      </c>
      <c r="O30" t="s">
        <v>156</v>
      </c>
      <c r="Q30" t="s">
        <v>110</v>
      </c>
      <c r="R30" t="s">
        <v>110</v>
      </c>
      <c r="S30" t="s">
        <v>110</v>
      </c>
      <c r="T30" t="s">
        <v>110</v>
      </c>
      <c r="AJ30" t="s">
        <v>110</v>
      </c>
      <c r="AM30" t="s">
        <v>110</v>
      </c>
    </row>
    <row r="31" spans="1:40" x14ac:dyDescent="0.25">
      <c r="A31" t="s">
        <v>379</v>
      </c>
      <c r="B31">
        <v>25</v>
      </c>
      <c r="C31">
        <v>10</v>
      </c>
      <c r="G31">
        <v>15</v>
      </c>
      <c r="H31">
        <v>4500</v>
      </c>
      <c r="I31" t="s">
        <v>48</v>
      </c>
      <c r="O31" t="s">
        <v>166</v>
      </c>
      <c r="Q31" t="s">
        <v>110</v>
      </c>
      <c r="R31" t="s">
        <v>110</v>
      </c>
      <c r="S31" t="s">
        <v>110</v>
      </c>
      <c r="T31" t="s">
        <v>110</v>
      </c>
      <c r="AJ31" t="s">
        <v>110</v>
      </c>
      <c r="AM31" t="s">
        <v>110</v>
      </c>
    </row>
    <row r="32" spans="1:40" s="20" customFormat="1" x14ac:dyDescent="0.25">
      <c r="A32" s="20" t="s">
        <v>392</v>
      </c>
      <c r="B32" s="20">
        <v>28</v>
      </c>
      <c r="C32" s="20">
        <v>15</v>
      </c>
      <c r="G32" s="20">
        <v>15</v>
      </c>
      <c r="H32" s="20">
        <v>10000</v>
      </c>
      <c r="I32" s="20" t="s">
        <v>48</v>
      </c>
      <c r="O32" s="20" t="s">
        <v>156</v>
      </c>
      <c r="Q32" s="20" t="s">
        <v>110</v>
      </c>
      <c r="R32" s="20" t="s">
        <v>110</v>
      </c>
      <c r="S32" s="20" t="s">
        <v>110</v>
      </c>
      <c r="T32" s="20" t="s">
        <v>110</v>
      </c>
      <c r="V32" s="20" t="s">
        <v>110</v>
      </c>
      <c r="AJ32" s="20" t="s">
        <v>110</v>
      </c>
      <c r="AM32" s="20" t="s">
        <v>110</v>
      </c>
    </row>
    <row r="33" spans="1:40" x14ac:dyDescent="0.25">
      <c r="A33" t="s">
        <v>385</v>
      </c>
      <c r="B33">
        <v>9</v>
      </c>
      <c r="C33">
        <v>0</v>
      </c>
      <c r="G33">
        <v>2</v>
      </c>
      <c r="H33">
        <v>10</v>
      </c>
      <c r="I33" t="s">
        <v>49</v>
      </c>
      <c r="O33" t="s">
        <v>166</v>
      </c>
      <c r="Q33" t="s">
        <v>110</v>
      </c>
      <c r="R33" t="s">
        <v>110</v>
      </c>
      <c r="S33" t="s">
        <v>110</v>
      </c>
      <c r="T33" t="s">
        <v>110</v>
      </c>
      <c r="AG33" t="s">
        <v>110</v>
      </c>
      <c r="AH33" t="s">
        <v>110</v>
      </c>
      <c r="AI33" t="s">
        <v>110</v>
      </c>
      <c r="AJ33" t="s">
        <v>110</v>
      </c>
      <c r="AM33" s="21" t="s">
        <v>110</v>
      </c>
    </row>
    <row r="34" spans="1:40" x14ac:dyDescent="0.25">
      <c r="A34" t="s">
        <v>386</v>
      </c>
      <c r="B34">
        <v>12</v>
      </c>
      <c r="C34">
        <v>5</v>
      </c>
      <c r="G34">
        <v>2</v>
      </c>
      <c r="H34">
        <v>2500</v>
      </c>
      <c r="I34" t="s">
        <v>49</v>
      </c>
      <c r="O34" t="s">
        <v>166</v>
      </c>
      <c r="Q34" t="s">
        <v>110</v>
      </c>
      <c r="R34" t="s">
        <v>110</v>
      </c>
      <c r="S34" t="s">
        <v>110</v>
      </c>
      <c r="T34" t="s">
        <v>110</v>
      </c>
      <c r="AG34" t="s">
        <v>110</v>
      </c>
      <c r="AH34" t="s">
        <v>110</v>
      </c>
      <c r="AI34" t="s">
        <v>110</v>
      </c>
      <c r="AJ34" t="s">
        <v>110</v>
      </c>
      <c r="AM34" s="21" t="s">
        <v>110</v>
      </c>
    </row>
    <row r="35" spans="1:40" s="20" customFormat="1" x14ac:dyDescent="0.25">
      <c r="A35" s="20" t="s">
        <v>387</v>
      </c>
      <c r="B35" s="20">
        <v>18</v>
      </c>
      <c r="C35" s="20">
        <v>15</v>
      </c>
      <c r="G35" s="20">
        <v>2</v>
      </c>
      <c r="H35" s="20">
        <v>40000</v>
      </c>
      <c r="I35" s="20" t="s">
        <v>49</v>
      </c>
      <c r="O35" s="20" t="s">
        <v>156</v>
      </c>
      <c r="Q35" s="20" t="s">
        <v>110</v>
      </c>
      <c r="R35" s="20" t="s">
        <v>110</v>
      </c>
      <c r="S35" s="20" t="s">
        <v>110</v>
      </c>
      <c r="T35" s="20" t="s">
        <v>110</v>
      </c>
      <c r="V35" s="20" t="s">
        <v>110</v>
      </c>
      <c r="AH35" s="20" t="s">
        <v>110</v>
      </c>
      <c r="AM35" s="20" t="s">
        <v>110</v>
      </c>
    </row>
    <row r="36" spans="1:40" x14ac:dyDescent="0.25">
      <c r="A36" t="s">
        <v>50</v>
      </c>
      <c r="B36">
        <v>6</v>
      </c>
      <c r="C36">
        <v>0</v>
      </c>
      <c r="G36">
        <v>0</v>
      </c>
      <c r="H36">
        <v>5</v>
      </c>
      <c r="I36" t="s">
        <v>50</v>
      </c>
      <c r="O36" t="s">
        <v>166</v>
      </c>
      <c r="Q36" t="s">
        <v>110</v>
      </c>
      <c r="R36" t="s">
        <v>110</v>
      </c>
      <c r="S36" t="s">
        <v>110</v>
      </c>
      <c r="T36" t="s">
        <v>110</v>
      </c>
      <c r="Y36" t="s">
        <v>110</v>
      </c>
      <c r="Z36" t="s">
        <v>110</v>
      </c>
      <c r="AA36" t="s">
        <v>110</v>
      </c>
      <c r="AB36" t="s">
        <v>110</v>
      </c>
      <c r="AC36" t="s">
        <v>110</v>
      </c>
      <c r="AD36" t="s">
        <v>110</v>
      </c>
      <c r="AE36" t="s">
        <v>110</v>
      </c>
      <c r="AF36" t="s">
        <v>110</v>
      </c>
      <c r="AG36" t="s">
        <v>110</v>
      </c>
      <c r="AH36" t="s">
        <v>110</v>
      </c>
      <c r="AI36" t="s">
        <v>110</v>
      </c>
      <c r="AJ36" t="s">
        <v>110</v>
      </c>
      <c r="AK36" t="s">
        <v>110</v>
      </c>
      <c r="AL36" t="s">
        <v>110</v>
      </c>
      <c r="AM36" t="s">
        <v>110</v>
      </c>
      <c r="AN36" t="s">
        <v>110</v>
      </c>
    </row>
    <row r="37" spans="1:40" x14ac:dyDescent="0.25">
      <c r="A37" t="s">
        <v>395</v>
      </c>
      <c r="B37">
        <v>12</v>
      </c>
      <c r="C37">
        <v>0</v>
      </c>
      <c r="G37">
        <v>0</v>
      </c>
      <c r="H37">
        <v>24690</v>
      </c>
      <c r="I37" t="s">
        <v>50</v>
      </c>
      <c r="O37" t="s">
        <v>156</v>
      </c>
      <c r="Q37" t="s">
        <v>110</v>
      </c>
      <c r="R37" t="s">
        <v>110</v>
      </c>
      <c r="S37" t="s">
        <v>110</v>
      </c>
      <c r="T37" t="s">
        <v>110</v>
      </c>
      <c r="U37" t="s">
        <v>110</v>
      </c>
      <c r="V37" t="s">
        <v>110</v>
      </c>
      <c r="W37" t="s">
        <v>110</v>
      </c>
      <c r="X37" t="s">
        <v>110</v>
      </c>
      <c r="Y37" t="s">
        <v>110</v>
      </c>
      <c r="Z37" t="s">
        <v>110</v>
      </c>
      <c r="AA37" t="s">
        <v>110</v>
      </c>
      <c r="AB37" t="s">
        <v>110</v>
      </c>
      <c r="AC37" t="s">
        <v>110</v>
      </c>
      <c r="AD37" t="s">
        <v>110</v>
      </c>
      <c r="AE37" t="s">
        <v>110</v>
      </c>
      <c r="AF37" t="s">
        <v>110</v>
      </c>
      <c r="AG37" t="s">
        <v>110</v>
      </c>
      <c r="AH37" t="s">
        <v>110</v>
      </c>
      <c r="AI37" t="s">
        <v>110</v>
      </c>
      <c r="AJ37" t="s">
        <v>110</v>
      </c>
      <c r="AK37" t="s">
        <v>110</v>
      </c>
      <c r="AL37" t="s">
        <v>110</v>
      </c>
      <c r="AM37" t="s">
        <v>110</v>
      </c>
      <c r="AN37" t="s">
        <v>110</v>
      </c>
    </row>
    <row r="38" spans="1:40" x14ac:dyDescent="0.25">
      <c r="A38" t="s">
        <v>388</v>
      </c>
      <c r="B38">
        <v>14</v>
      </c>
      <c r="C38">
        <v>0</v>
      </c>
      <c r="F38" t="s">
        <v>396</v>
      </c>
      <c r="G38">
        <v>0</v>
      </c>
      <c r="H38">
        <v>200</v>
      </c>
      <c r="I38" t="s">
        <v>50</v>
      </c>
      <c r="O38" t="s">
        <v>166</v>
      </c>
      <c r="Y38" t="s">
        <v>110</v>
      </c>
      <c r="Z38" t="s">
        <v>110</v>
      </c>
      <c r="AA38" t="s">
        <v>110</v>
      </c>
      <c r="AB38" t="s">
        <v>110</v>
      </c>
      <c r="AG38" t="s">
        <v>110</v>
      </c>
      <c r="AH38" t="s">
        <v>110</v>
      </c>
      <c r="AI38" t="s">
        <v>110</v>
      </c>
      <c r="AJ38" t="s">
        <v>110</v>
      </c>
      <c r="AM38" t="s">
        <v>110</v>
      </c>
    </row>
    <row r="39" spans="1:40" x14ac:dyDescent="0.25">
      <c r="A39" t="s">
        <v>389</v>
      </c>
      <c r="B39">
        <v>6</v>
      </c>
      <c r="C39">
        <v>0</v>
      </c>
      <c r="G39">
        <v>0</v>
      </c>
      <c r="H39">
        <v>25000</v>
      </c>
      <c r="I39" t="s">
        <v>50</v>
      </c>
      <c r="O39" t="s">
        <v>156</v>
      </c>
      <c r="V39" t="s">
        <v>110</v>
      </c>
      <c r="AG39" t="s">
        <v>110</v>
      </c>
      <c r="AH39" t="s">
        <v>110</v>
      </c>
      <c r="AI39" t="s">
        <v>110</v>
      </c>
      <c r="AJ39" t="s">
        <v>110</v>
      </c>
      <c r="AN39" t="s">
        <v>110</v>
      </c>
    </row>
    <row r="40" spans="1:40" x14ac:dyDescent="0.25">
      <c r="A40" t="s">
        <v>391</v>
      </c>
      <c r="B40">
        <v>12</v>
      </c>
      <c r="C40">
        <v>10</v>
      </c>
      <c r="G40">
        <v>0</v>
      </c>
      <c r="H40">
        <v>25000</v>
      </c>
      <c r="I40" t="s">
        <v>50</v>
      </c>
      <c r="O40" t="s">
        <v>156</v>
      </c>
      <c r="V40" t="s">
        <v>110</v>
      </c>
      <c r="AK40" t="s">
        <v>110</v>
      </c>
      <c r="AL40" t="s">
        <v>110</v>
      </c>
      <c r="AM40" t="s">
        <v>110</v>
      </c>
      <c r="AN40" t="s">
        <v>110</v>
      </c>
    </row>
    <row r="41" spans="1:40" s="20" customFormat="1" x14ac:dyDescent="0.25">
      <c r="A41" s="20" t="s">
        <v>390</v>
      </c>
      <c r="B41" s="20">
        <v>15</v>
      </c>
      <c r="C41" s="20">
        <v>15</v>
      </c>
      <c r="G41" s="20">
        <v>0</v>
      </c>
      <c r="H41" s="20">
        <v>50000</v>
      </c>
      <c r="I41" s="20" t="s">
        <v>50</v>
      </c>
      <c r="O41" s="20" t="s">
        <v>156</v>
      </c>
      <c r="V41" s="20" t="s">
        <v>110</v>
      </c>
      <c r="AL41" s="20" t="s">
        <v>110</v>
      </c>
      <c r="AM41" s="20" t="s">
        <v>110</v>
      </c>
      <c r="AN41" s="20" t="s">
        <v>110</v>
      </c>
    </row>
    <row r="42" spans="1:40" x14ac:dyDescent="0.25">
      <c r="A42" t="s">
        <v>399</v>
      </c>
      <c r="B42">
        <v>6</v>
      </c>
      <c r="C42">
        <v>10</v>
      </c>
      <c r="G42">
        <v>20</v>
      </c>
      <c r="H42">
        <v>10</v>
      </c>
      <c r="I42" t="s">
        <v>357</v>
      </c>
      <c r="O42" t="s">
        <v>166</v>
      </c>
      <c r="S42" t="s">
        <v>110</v>
      </c>
      <c r="U42" t="s">
        <v>110</v>
      </c>
      <c r="V42" t="s">
        <v>110</v>
      </c>
      <c r="W42" t="s">
        <v>110</v>
      </c>
      <c r="X42" t="s">
        <v>110</v>
      </c>
    </row>
    <row r="43" spans="1:40" x14ac:dyDescent="0.25">
      <c r="A43" t="s">
        <v>400</v>
      </c>
      <c r="B43">
        <v>18</v>
      </c>
      <c r="C43">
        <v>15</v>
      </c>
      <c r="G43">
        <v>20</v>
      </c>
      <c r="H43">
        <v>3500</v>
      </c>
      <c r="I43" t="s">
        <v>357</v>
      </c>
      <c r="O43" t="s">
        <v>166</v>
      </c>
      <c r="S43" t="s">
        <v>110</v>
      </c>
      <c r="U43" t="s">
        <v>110</v>
      </c>
      <c r="V43" t="s">
        <v>110</v>
      </c>
      <c r="W43" t="s">
        <v>110</v>
      </c>
      <c r="X43" t="s">
        <v>110</v>
      </c>
    </row>
    <row r="44" spans="1:40" x14ac:dyDescent="0.25">
      <c r="A44" t="s">
        <v>401</v>
      </c>
      <c r="B44">
        <v>22</v>
      </c>
      <c r="C44">
        <v>20</v>
      </c>
      <c r="D44" t="s">
        <v>39</v>
      </c>
      <c r="F44" t="s">
        <v>100</v>
      </c>
      <c r="G44">
        <v>20</v>
      </c>
      <c r="H44">
        <v>8000</v>
      </c>
      <c r="I44" t="s">
        <v>357</v>
      </c>
      <c r="O44" t="s">
        <v>156</v>
      </c>
      <c r="S44" t="s">
        <v>110</v>
      </c>
      <c r="U44" t="s">
        <v>110</v>
      </c>
      <c r="V44" t="s">
        <v>110</v>
      </c>
      <c r="W44" t="s">
        <v>110</v>
      </c>
      <c r="X44" t="s">
        <v>110</v>
      </c>
    </row>
    <row r="45" spans="1:40" x14ac:dyDescent="0.25">
      <c r="A45" t="s">
        <v>402</v>
      </c>
      <c r="B45">
        <v>35</v>
      </c>
      <c r="C45">
        <v>30</v>
      </c>
      <c r="G45">
        <v>30</v>
      </c>
      <c r="H45">
        <v>40000</v>
      </c>
      <c r="I45" t="s">
        <v>357</v>
      </c>
      <c r="O45" t="s">
        <v>156</v>
      </c>
      <c r="S45" t="s">
        <v>110</v>
      </c>
      <c r="W45" t="s">
        <v>110</v>
      </c>
      <c r="X45" t="s">
        <v>110</v>
      </c>
    </row>
    <row r="50" spans="14:14" x14ac:dyDescent="0.25">
      <c r="N50" t="s">
        <v>403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DAEE-21DB-4E4E-ADF7-36BDBB30E478}">
  <dimension ref="A1:Q18"/>
  <sheetViews>
    <sheetView workbookViewId="0">
      <selection activeCell="R9" sqref="R9"/>
    </sheetView>
  </sheetViews>
  <sheetFormatPr baseColWidth="10" defaultRowHeight="15" x14ac:dyDescent="0.25"/>
  <sheetData>
    <row r="1" spans="1:17" x14ac:dyDescent="0.25">
      <c r="A1" t="s">
        <v>87</v>
      </c>
      <c r="B1" t="s">
        <v>19</v>
      </c>
      <c r="C1" t="s">
        <v>105</v>
      </c>
      <c r="D1" t="s">
        <v>106</v>
      </c>
      <c r="E1" t="s">
        <v>107</v>
      </c>
      <c r="F1" t="s">
        <v>139</v>
      </c>
      <c r="G1" t="s">
        <v>4</v>
      </c>
    </row>
    <row r="11" spans="1:17" x14ac:dyDescent="0.25">
      <c r="K11" t="s">
        <v>108</v>
      </c>
      <c r="L11" t="s">
        <v>105</v>
      </c>
      <c r="M11" t="s">
        <v>106</v>
      </c>
      <c r="N11" t="s">
        <v>107</v>
      </c>
      <c r="O11" t="s">
        <v>139</v>
      </c>
      <c r="Q11" t="s">
        <v>149</v>
      </c>
    </row>
    <row r="12" spans="1:17" x14ac:dyDescent="0.25">
      <c r="K12" t="s">
        <v>66</v>
      </c>
      <c r="L12" t="s">
        <v>116</v>
      </c>
      <c r="M12" t="s">
        <v>117</v>
      </c>
      <c r="N12" t="s">
        <v>140</v>
      </c>
      <c r="O12" t="s">
        <v>141</v>
      </c>
    </row>
    <row r="13" spans="1:17" x14ac:dyDescent="0.25">
      <c r="K13" t="s">
        <v>88</v>
      </c>
      <c r="L13" t="s">
        <v>118</v>
      </c>
      <c r="M13" t="s">
        <v>109</v>
      </c>
      <c r="N13" t="s">
        <v>141</v>
      </c>
    </row>
    <row r="14" spans="1:17" x14ac:dyDescent="0.25">
      <c r="K14" t="s">
        <v>138</v>
      </c>
      <c r="L14" t="s">
        <v>118</v>
      </c>
      <c r="M14" t="s">
        <v>109</v>
      </c>
      <c r="N14" t="s">
        <v>141</v>
      </c>
    </row>
    <row r="15" spans="1:17" x14ac:dyDescent="0.25">
      <c r="K15" t="s">
        <v>17</v>
      </c>
      <c r="L15" t="s">
        <v>19</v>
      </c>
      <c r="M15" t="s">
        <v>117</v>
      </c>
      <c r="N15" t="s">
        <v>140</v>
      </c>
      <c r="O15" t="s">
        <v>141</v>
      </c>
    </row>
    <row r="16" spans="1:17" x14ac:dyDescent="0.25">
      <c r="K16" t="s">
        <v>63</v>
      </c>
      <c r="L16" t="s">
        <v>113</v>
      </c>
      <c r="M16" t="s">
        <v>115</v>
      </c>
      <c r="N16" t="s">
        <v>111</v>
      </c>
    </row>
    <row r="17" spans="11:14" x14ac:dyDescent="0.25">
      <c r="K17" t="s">
        <v>64</v>
      </c>
      <c r="L17" t="s">
        <v>147</v>
      </c>
      <c r="M17" t="s">
        <v>141</v>
      </c>
    </row>
    <row r="18" spans="11:14" x14ac:dyDescent="0.25">
      <c r="K18" t="s">
        <v>65</v>
      </c>
      <c r="L18" t="s">
        <v>113</v>
      </c>
      <c r="M18" t="s">
        <v>114</v>
      </c>
      <c r="N18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158B-3429-4DEB-AE84-7B477B14E431}">
  <dimension ref="A1:L9"/>
  <sheetViews>
    <sheetView workbookViewId="0">
      <selection activeCell="J15" sqref="J15"/>
    </sheetView>
  </sheetViews>
  <sheetFormatPr baseColWidth="10" defaultRowHeight="15" x14ac:dyDescent="0.25"/>
  <sheetData>
    <row r="1" spans="1:12" x14ac:dyDescent="0.25">
      <c r="A1" t="s">
        <v>87</v>
      </c>
      <c r="B1" t="s">
        <v>136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349</v>
      </c>
      <c r="L1" t="s">
        <v>141</v>
      </c>
    </row>
    <row r="2" spans="1:12" x14ac:dyDescent="0.25">
      <c r="B2">
        <v>1</v>
      </c>
    </row>
    <row r="3" spans="1:12" x14ac:dyDescent="0.25">
      <c r="B3">
        <v>2</v>
      </c>
    </row>
    <row r="4" spans="1:12" x14ac:dyDescent="0.25">
      <c r="B4">
        <v>3</v>
      </c>
    </row>
    <row r="5" spans="1:12" x14ac:dyDescent="0.25">
      <c r="B5">
        <v>4</v>
      </c>
    </row>
    <row r="6" spans="1:12" x14ac:dyDescent="0.25">
      <c r="B6">
        <v>5</v>
      </c>
    </row>
    <row r="7" spans="1:12" x14ac:dyDescent="0.25">
      <c r="B7">
        <v>6</v>
      </c>
    </row>
    <row r="8" spans="1:12" x14ac:dyDescent="0.25">
      <c r="B8">
        <v>7</v>
      </c>
    </row>
    <row r="9" spans="1:12" x14ac:dyDescent="0.25">
      <c r="B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74A3-2C43-4E7F-AED4-2899BC204C2F}">
  <dimension ref="A1:J1"/>
  <sheetViews>
    <sheetView workbookViewId="0">
      <selection activeCell="G36" sqref="G36"/>
    </sheetView>
  </sheetViews>
  <sheetFormatPr baseColWidth="10" defaultRowHeight="15" x14ac:dyDescent="0.25"/>
  <sheetData>
    <row r="1" spans="1:10" x14ac:dyDescent="0.25">
      <c r="A1" t="s">
        <v>87</v>
      </c>
      <c r="B1" t="s">
        <v>342</v>
      </c>
      <c r="C1" t="s">
        <v>343</v>
      </c>
      <c r="D1" t="s">
        <v>344</v>
      </c>
      <c r="E1" t="s">
        <v>345</v>
      </c>
      <c r="F1" t="s">
        <v>346</v>
      </c>
      <c r="G1" t="s">
        <v>347</v>
      </c>
      <c r="H1" t="s">
        <v>348</v>
      </c>
      <c r="I1" t="s">
        <v>349</v>
      </c>
      <c r="J1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84E0-B600-43F5-A450-6AB5BA90BDA3}">
  <dimension ref="A1:R70"/>
  <sheetViews>
    <sheetView workbookViewId="0">
      <selection activeCell="P42" sqref="P42"/>
    </sheetView>
  </sheetViews>
  <sheetFormatPr baseColWidth="10" defaultRowHeight="15" x14ac:dyDescent="0.25"/>
  <cols>
    <col min="3" max="3" width="22.5703125" customWidth="1"/>
    <col min="12" max="12" width="19.5703125" customWidth="1"/>
  </cols>
  <sheetData>
    <row r="1" spans="1:18" x14ac:dyDescent="0.25">
      <c r="A1" t="s">
        <v>350</v>
      </c>
    </row>
    <row r="2" spans="1:18" x14ac:dyDescent="0.25">
      <c r="A2" t="s">
        <v>87</v>
      </c>
      <c r="B2" t="s">
        <v>136</v>
      </c>
      <c r="C2" t="s">
        <v>19</v>
      </c>
      <c r="D2" t="s">
        <v>105</v>
      </c>
      <c r="E2" t="s">
        <v>106</v>
      </c>
      <c r="F2" t="s">
        <v>107</v>
      </c>
      <c r="G2" t="s">
        <v>139</v>
      </c>
      <c r="H2" t="s">
        <v>168</v>
      </c>
      <c r="I2" t="s">
        <v>169</v>
      </c>
      <c r="J2" t="s">
        <v>19</v>
      </c>
    </row>
    <row r="3" spans="1:18" x14ac:dyDescent="0.25">
      <c r="A3" t="s">
        <v>34</v>
      </c>
      <c r="B3">
        <v>1</v>
      </c>
      <c r="C3" t="s">
        <v>66</v>
      </c>
      <c r="D3">
        <v>10</v>
      </c>
      <c r="E3" t="s">
        <v>34</v>
      </c>
      <c r="F3">
        <v>96</v>
      </c>
      <c r="G3" t="s">
        <v>156</v>
      </c>
      <c r="J3" t="s">
        <v>157</v>
      </c>
    </row>
    <row r="4" spans="1:18" x14ac:dyDescent="0.25">
      <c r="A4" t="s">
        <v>36</v>
      </c>
      <c r="B4">
        <v>1</v>
      </c>
      <c r="C4" t="s">
        <v>66</v>
      </c>
      <c r="D4">
        <v>10</v>
      </c>
      <c r="E4" t="s">
        <v>36</v>
      </c>
      <c r="F4">
        <v>96</v>
      </c>
      <c r="G4" t="s">
        <v>156</v>
      </c>
      <c r="J4" t="s">
        <v>157</v>
      </c>
    </row>
    <row r="5" spans="1:18" x14ac:dyDescent="0.25">
      <c r="A5" t="s">
        <v>207</v>
      </c>
      <c r="B5">
        <v>1</v>
      </c>
      <c r="C5" t="s">
        <v>17</v>
      </c>
      <c r="D5" t="s">
        <v>207</v>
      </c>
      <c r="E5" t="s">
        <v>17</v>
      </c>
      <c r="F5">
        <v>96</v>
      </c>
      <c r="G5" t="s">
        <v>166</v>
      </c>
      <c r="J5" t="s">
        <v>157</v>
      </c>
    </row>
    <row r="6" spans="1:18" x14ac:dyDescent="0.25">
      <c r="A6" t="s">
        <v>208</v>
      </c>
      <c r="B6">
        <v>1</v>
      </c>
      <c r="C6" t="s">
        <v>88</v>
      </c>
      <c r="D6" t="s">
        <v>84</v>
      </c>
      <c r="E6">
        <v>20</v>
      </c>
      <c r="G6" t="s">
        <v>156</v>
      </c>
      <c r="J6" t="s">
        <v>157</v>
      </c>
      <c r="L6" t="s">
        <v>108</v>
      </c>
      <c r="M6" t="s">
        <v>105</v>
      </c>
      <c r="N6" t="s">
        <v>106</v>
      </c>
      <c r="O6" t="s">
        <v>107</v>
      </c>
      <c r="P6" t="s">
        <v>139</v>
      </c>
      <c r="Q6" t="s">
        <v>168</v>
      </c>
      <c r="R6" t="s">
        <v>169</v>
      </c>
    </row>
    <row r="7" spans="1:18" x14ac:dyDescent="0.25">
      <c r="A7" t="s">
        <v>35</v>
      </c>
      <c r="B7">
        <v>2</v>
      </c>
      <c r="C7" t="s">
        <v>66</v>
      </c>
      <c r="D7">
        <v>20</v>
      </c>
      <c r="E7" t="s">
        <v>35</v>
      </c>
      <c r="F7">
        <v>96</v>
      </c>
      <c r="G7" t="s">
        <v>156</v>
      </c>
      <c r="J7" t="s">
        <v>157</v>
      </c>
      <c r="L7" t="s">
        <v>66</v>
      </c>
      <c r="M7" t="s">
        <v>116</v>
      </c>
      <c r="N7" t="s">
        <v>117</v>
      </c>
      <c r="O7" t="s">
        <v>140</v>
      </c>
      <c r="P7" t="s">
        <v>141</v>
      </c>
      <c r="Q7" t="s">
        <v>217</v>
      </c>
    </row>
    <row r="8" spans="1:18" x14ac:dyDescent="0.25">
      <c r="A8" t="s">
        <v>39</v>
      </c>
      <c r="B8">
        <v>2</v>
      </c>
      <c r="C8" t="s">
        <v>170</v>
      </c>
      <c r="D8">
        <v>2</v>
      </c>
      <c r="E8" t="s">
        <v>39</v>
      </c>
      <c r="F8">
        <v>96</v>
      </c>
      <c r="G8" t="s">
        <v>166</v>
      </c>
      <c r="H8" t="s">
        <v>39</v>
      </c>
      <c r="J8" t="s">
        <v>157</v>
      </c>
      <c r="L8" t="s">
        <v>88</v>
      </c>
      <c r="M8" t="s">
        <v>118</v>
      </c>
      <c r="N8" t="s">
        <v>109</v>
      </c>
      <c r="P8" t="s">
        <v>141</v>
      </c>
      <c r="Q8" t="s">
        <v>118</v>
      </c>
      <c r="R8" t="s">
        <v>109</v>
      </c>
    </row>
    <row r="9" spans="1:18" x14ac:dyDescent="0.25">
      <c r="A9" t="s">
        <v>209</v>
      </c>
      <c r="B9">
        <v>2</v>
      </c>
      <c r="C9" t="s">
        <v>17</v>
      </c>
      <c r="D9" t="s">
        <v>44</v>
      </c>
      <c r="E9" t="s">
        <v>17</v>
      </c>
      <c r="F9">
        <v>96</v>
      </c>
      <c r="G9" t="s">
        <v>156</v>
      </c>
      <c r="J9" t="s">
        <v>157</v>
      </c>
      <c r="L9" t="s">
        <v>138</v>
      </c>
      <c r="M9" t="s">
        <v>118</v>
      </c>
      <c r="N9" t="s">
        <v>109</v>
      </c>
      <c r="P9" t="s">
        <v>141</v>
      </c>
      <c r="Q9" t="s">
        <v>118</v>
      </c>
      <c r="R9" t="s">
        <v>109</v>
      </c>
    </row>
    <row r="10" spans="1:18" x14ac:dyDescent="0.25">
      <c r="A10" t="s">
        <v>210</v>
      </c>
      <c r="B10">
        <v>2</v>
      </c>
      <c r="C10" t="s">
        <v>17</v>
      </c>
      <c r="D10" t="s">
        <v>214</v>
      </c>
      <c r="E10" t="s">
        <v>41</v>
      </c>
      <c r="F10">
        <v>96</v>
      </c>
      <c r="G10" t="s">
        <v>166</v>
      </c>
      <c r="J10" t="s">
        <v>157</v>
      </c>
      <c r="L10" t="s">
        <v>17</v>
      </c>
      <c r="M10" t="s">
        <v>118</v>
      </c>
      <c r="N10" t="s">
        <v>117</v>
      </c>
      <c r="O10" t="s">
        <v>140</v>
      </c>
      <c r="P10" t="s">
        <v>141</v>
      </c>
    </row>
    <row r="11" spans="1:18" x14ac:dyDescent="0.25">
      <c r="A11" t="s">
        <v>159</v>
      </c>
      <c r="B11">
        <v>3</v>
      </c>
      <c r="C11" t="s">
        <v>66</v>
      </c>
      <c r="D11">
        <v>30</v>
      </c>
      <c r="E11" t="s">
        <v>34</v>
      </c>
      <c r="F11">
        <v>96</v>
      </c>
      <c r="G11" t="s">
        <v>166</v>
      </c>
      <c r="J11" t="s">
        <v>157</v>
      </c>
      <c r="L11" t="s">
        <v>63</v>
      </c>
      <c r="M11" t="s">
        <v>116</v>
      </c>
      <c r="N11" t="s">
        <v>147</v>
      </c>
      <c r="P11" t="s">
        <v>141</v>
      </c>
    </row>
    <row r="12" spans="1:18" x14ac:dyDescent="0.25">
      <c r="A12" t="s">
        <v>160</v>
      </c>
      <c r="B12">
        <v>3</v>
      </c>
      <c r="C12" t="s">
        <v>66</v>
      </c>
      <c r="D12">
        <v>30</v>
      </c>
      <c r="E12" t="s">
        <v>36</v>
      </c>
      <c r="F12">
        <v>96</v>
      </c>
      <c r="G12" t="s">
        <v>166</v>
      </c>
      <c r="J12" t="s">
        <v>157</v>
      </c>
      <c r="L12" t="s">
        <v>64</v>
      </c>
      <c r="M12" t="s">
        <v>147</v>
      </c>
      <c r="P12" t="s">
        <v>141</v>
      </c>
    </row>
    <row r="13" spans="1:18" x14ac:dyDescent="0.25">
      <c r="A13" t="s">
        <v>330</v>
      </c>
      <c r="B13">
        <v>3</v>
      </c>
      <c r="C13" t="s">
        <v>88</v>
      </c>
      <c r="D13" t="s">
        <v>226</v>
      </c>
      <c r="E13">
        <v>16</v>
      </c>
      <c r="G13" t="s">
        <v>337</v>
      </c>
      <c r="J13" t="s">
        <v>157</v>
      </c>
      <c r="L13" t="s">
        <v>170</v>
      </c>
      <c r="M13" t="s">
        <v>116</v>
      </c>
      <c r="N13" t="s">
        <v>117</v>
      </c>
      <c r="O13" t="s">
        <v>140</v>
      </c>
      <c r="P13" t="s">
        <v>141</v>
      </c>
      <c r="Q13" t="s">
        <v>17</v>
      </c>
    </row>
    <row r="14" spans="1:18" x14ac:dyDescent="0.25">
      <c r="A14" t="s">
        <v>331</v>
      </c>
      <c r="B14">
        <v>3</v>
      </c>
      <c r="C14" t="s">
        <v>17</v>
      </c>
      <c r="D14" t="s">
        <v>43</v>
      </c>
      <c r="E14" t="s">
        <v>17</v>
      </c>
      <c r="F14">
        <v>96</v>
      </c>
      <c r="G14" t="s">
        <v>223</v>
      </c>
      <c r="J14" t="s">
        <v>157</v>
      </c>
      <c r="L14" t="s">
        <v>175</v>
      </c>
      <c r="M14" t="s">
        <v>116</v>
      </c>
      <c r="N14" t="s">
        <v>117</v>
      </c>
      <c r="O14" t="s">
        <v>140</v>
      </c>
      <c r="P14" t="s">
        <v>141</v>
      </c>
      <c r="Q14" t="s">
        <v>176</v>
      </c>
      <c r="R14" t="s">
        <v>17</v>
      </c>
    </row>
    <row r="15" spans="1:18" x14ac:dyDescent="0.25">
      <c r="A15" t="s">
        <v>161</v>
      </c>
      <c r="B15">
        <v>4</v>
      </c>
      <c r="C15" t="s">
        <v>66</v>
      </c>
      <c r="D15">
        <v>40</v>
      </c>
      <c r="E15" t="s">
        <v>35</v>
      </c>
      <c r="F15">
        <v>96</v>
      </c>
      <c r="G15" t="s">
        <v>166</v>
      </c>
      <c r="J15" t="s">
        <v>157</v>
      </c>
      <c r="L15" t="s">
        <v>68</v>
      </c>
      <c r="M15" t="s">
        <v>147</v>
      </c>
      <c r="P15" t="s">
        <v>141</v>
      </c>
    </row>
    <row r="16" spans="1:18" x14ac:dyDescent="0.25">
      <c r="A16" t="s">
        <v>171</v>
      </c>
      <c r="B16">
        <v>4</v>
      </c>
      <c r="C16" t="s">
        <v>66</v>
      </c>
      <c r="D16">
        <v>90</v>
      </c>
      <c r="E16" t="s">
        <v>38</v>
      </c>
      <c r="F16">
        <v>96</v>
      </c>
      <c r="G16" t="s">
        <v>156</v>
      </c>
      <c r="J16" t="s">
        <v>157</v>
      </c>
      <c r="L16" t="s">
        <v>338</v>
      </c>
      <c r="M16" t="s">
        <v>118</v>
      </c>
      <c r="P16" t="s">
        <v>141</v>
      </c>
    </row>
    <row r="17" spans="1:10" x14ac:dyDescent="0.25">
      <c r="A17" t="s">
        <v>332</v>
      </c>
      <c r="B17">
        <v>4</v>
      </c>
      <c r="C17" t="s">
        <v>338</v>
      </c>
      <c r="D17" t="s">
        <v>332</v>
      </c>
      <c r="G17" t="s">
        <v>337</v>
      </c>
      <c r="J17" t="s">
        <v>157</v>
      </c>
    </row>
    <row r="18" spans="1:10" x14ac:dyDescent="0.25">
      <c r="A18" t="s">
        <v>333</v>
      </c>
      <c r="B18">
        <v>4</v>
      </c>
      <c r="C18" t="s">
        <v>17</v>
      </c>
      <c r="D18" t="s">
        <v>45</v>
      </c>
      <c r="G18" t="s">
        <v>223</v>
      </c>
      <c r="J18" t="s">
        <v>157</v>
      </c>
    </row>
    <row r="19" spans="1:10" x14ac:dyDescent="0.25">
      <c r="A19" t="s">
        <v>162</v>
      </c>
      <c r="B19">
        <v>5</v>
      </c>
      <c r="C19" t="s">
        <v>66</v>
      </c>
      <c r="D19">
        <v>50</v>
      </c>
      <c r="E19" t="s">
        <v>34</v>
      </c>
      <c r="F19">
        <v>96</v>
      </c>
      <c r="G19" t="s">
        <v>166</v>
      </c>
      <c r="J19" t="s">
        <v>157</v>
      </c>
    </row>
    <row r="20" spans="1:10" x14ac:dyDescent="0.25">
      <c r="A20" t="s">
        <v>172</v>
      </c>
      <c r="B20">
        <v>5</v>
      </c>
      <c r="C20" t="s">
        <v>66</v>
      </c>
      <c r="D20">
        <v>80</v>
      </c>
      <c r="E20" t="s">
        <v>37</v>
      </c>
      <c r="F20">
        <v>96</v>
      </c>
      <c r="G20" t="s">
        <v>156</v>
      </c>
      <c r="J20" t="s">
        <v>157</v>
      </c>
    </row>
    <row r="21" spans="1:10" x14ac:dyDescent="0.25">
      <c r="A21" t="s">
        <v>340</v>
      </c>
      <c r="B21">
        <v>5</v>
      </c>
      <c r="C21" t="s">
        <v>88</v>
      </c>
      <c r="D21" t="s">
        <v>84</v>
      </c>
      <c r="E21">
        <v>20</v>
      </c>
      <c r="G21" t="s">
        <v>166</v>
      </c>
      <c r="J21" t="s">
        <v>157</v>
      </c>
    </row>
    <row r="22" spans="1:10" x14ac:dyDescent="0.25">
      <c r="A22" t="s">
        <v>40</v>
      </c>
      <c r="B22">
        <v>5</v>
      </c>
      <c r="C22" t="s">
        <v>17</v>
      </c>
      <c r="D22" t="s">
        <v>40</v>
      </c>
      <c r="E22" t="s">
        <v>40</v>
      </c>
      <c r="F22">
        <v>96</v>
      </c>
      <c r="G22" t="s">
        <v>337</v>
      </c>
      <c r="J22" t="s">
        <v>157</v>
      </c>
    </row>
    <row r="23" spans="1:10" x14ac:dyDescent="0.25">
      <c r="A23" t="s">
        <v>163</v>
      </c>
      <c r="B23">
        <v>6</v>
      </c>
      <c r="C23" t="s">
        <v>66</v>
      </c>
      <c r="D23">
        <v>60</v>
      </c>
      <c r="E23" t="s">
        <v>36</v>
      </c>
      <c r="F23">
        <v>96</v>
      </c>
      <c r="G23" t="s">
        <v>166</v>
      </c>
      <c r="J23" t="s">
        <v>157</v>
      </c>
    </row>
    <row r="24" spans="1:10" x14ac:dyDescent="0.25">
      <c r="A24" t="s">
        <v>173</v>
      </c>
      <c r="B24">
        <v>6</v>
      </c>
      <c r="C24" t="s">
        <v>66</v>
      </c>
      <c r="D24">
        <v>90</v>
      </c>
      <c r="E24" t="s">
        <v>38</v>
      </c>
      <c r="F24">
        <v>103</v>
      </c>
      <c r="G24" t="s">
        <v>166</v>
      </c>
      <c r="J24" t="s">
        <v>157</v>
      </c>
    </row>
    <row r="25" spans="1:10" x14ac:dyDescent="0.25">
      <c r="A25" t="s">
        <v>334</v>
      </c>
      <c r="B25">
        <v>6</v>
      </c>
      <c r="C25" t="s">
        <v>17</v>
      </c>
      <c r="D25" t="s">
        <v>52</v>
      </c>
      <c r="E25" t="s">
        <v>39</v>
      </c>
      <c r="F25">
        <v>96</v>
      </c>
      <c r="G25" t="s">
        <v>156</v>
      </c>
      <c r="J25" t="s">
        <v>157</v>
      </c>
    </row>
    <row r="26" spans="1:10" x14ac:dyDescent="0.25">
      <c r="A26" t="s">
        <v>335</v>
      </c>
      <c r="B26">
        <v>6</v>
      </c>
      <c r="C26" t="s">
        <v>17</v>
      </c>
      <c r="D26" t="s">
        <v>44</v>
      </c>
      <c r="E26" t="s">
        <v>17</v>
      </c>
      <c r="F26">
        <v>96</v>
      </c>
      <c r="G26" t="s">
        <v>166</v>
      </c>
      <c r="J26" t="s">
        <v>157</v>
      </c>
    </row>
    <row r="27" spans="1:10" x14ac:dyDescent="0.25">
      <c r="A27" t="s">
        <v>164</v>
      </c>
      <c r="B27">
        <v>7</v>
      </c>
      <c r="C27" t="s">
        <v>66</v>
      </c>
      <c r="D27">
        <v>70</v>
      </c>
      <c r="E27" t="s">
        <v>35</v>
      </c>
      <c r="F27">
        <v>96</v>
      </c>
      <c r="G27" t="s">
        <v>166</v>
      </c>
      <c r="J27" t="s">
        <v>157</v>
      </c>
    </row>
    <row r="28" spans="1:10" x14ac:dyDescent="0.25">
      <c r="A28" t="s">
        <v>174</v>
      </c>
      <c r="B28">
        <v>7</v>
      </c>
      <c r="C28" t="s">
        <v>170</v>
      </c>
      <c r="D28">
        <v>100</v>
      </c>
      <c r="E28" t="s">
        <v>39</v>
      </c>
      <c r="F28">
        <v>96</v>
      </c>
      <c r="G28" t="s">
        <v>156</v>
      </c>
      <c r="H28" t="s">
        <v>39</v>
      </c>
      <c r="J28" t="s">
        <v>157</v>
      </c>
    </row>
    <row r="29" spans="1:10" x14ac:dyDescent="0.25">
      <c r="A29" t="s">
        <v>211</v>
      </c>
      <c r="B29">
        <v>7</v>
      </c>
      <c r="C29" t="s">
        <v>17</v>
      </c>
      <c r="D29" t="s">
        <v>40</v>
      </c>
      <c r="E29" t="s">
        <v>40</v>
      </c>
      <c r="F29">
        <v>115</v>
      </c>
      <c r="G29" t="s">
        <v>166</v>
      </c>
      <c r="J29" t="s">
        <v>157</v>
      </c>
    </row>
    <row r="30" spans="1:10" x14ac:dyDescent="0.25">
      <c r="A30" t="s">
        <v>336</v>
      </c>
      <c r="B30">
        <v>7</v>
      </c>
      <c r="C30" t="s">
        <v>88</v>
      </c>
      <c r="D30" t="s">
        <v>226</v>
      </c>
      <c r="E30">
        <v>24</v>
      </c>
      <c r="G30" t="s">
        <v>216</v>
      </c>
      <c r="H30" t="s">
        <v>84</v>
      </c>
      <c r="I30">
        <v>40</v>
      </c>
      <c r="J30" t="s">
        <v>157</v>
      </c>
    </row>
    <row r="31" spans="1:10" x14ac:dyDescent="0.25">
      <c r="A31" t="s">
        <v>165</v>
      </c>
      <c r="B31">
        <v>8</v>
      </c>
      <c r="C31" t="s">
        <v>66</v>
      </c>
      <c r="D31">
        <v>100</v>
      </c>
      <c r="F31">
        <v>136</v>
      </c>
      <c r="G31" t="s">
        <v>166</v>
      </c>
      <c r="J31" t="s">
        <v>157</v>
      </c>
    </row>
    <row r="32" spans="1:10" x14ac:dyDescent="0.25">
      <c r="A32" t="s">
        <v>167</v>
      </c>
      <c r="B32">
        <v>8</v>
      </c>
      <c r="C32" t="s">
        <v>66</v>
      </c>
      <c r="D32">
        <v>150</v>
      </c>
      <c r="E32" t="s">
        <v>41</v>
      </c>
      <c r="F32">
        <v>136</v>
      </c>
      <c r="G32" t="s">
        <v>156</v>
      </c>
      <c r="J32" t="s">
        <v>157</v>
      </c>
    </row>
    <row r="33" spans="1:10" x14ac:dyDescent="0.25">
      <c r="A33" t="s">
        <v>212</v>
      </c>
      <c r="B33">
        <v>8</v>
      </c>
      <c r="C33" t="s">
        <v>138</v>
      </c>
      <c r="D33" t="s">
        <v>230</v>
      </c>
      <c r="E33">
        <v>30</v>
      </c>
      <c r="G33" t="s">
        <v>166</v>
      </c>
      <c r="J33" t="s">
        <v>157</v>
      </c>
    </row>
    <row r="34" spans="1:10" x14ac:dyDescent="0.25">
      <c r="A34" t="s">
        <v>213</v>
      </c>
      <c r="B34">
        <v>8</v>
      </c>
      <c r="C34" t="s">
        <v>17</v>
      </c>
      <c r="D34" t="s">
        <v>40</v>
      </c>
      <c r="E34" t="s">
        <v>41</v>
      </c>
      <c r="F34">
        <v>136</v>
      </c>
      <c r="G34" t="s">
        <v>166</v>
      </c>
      <c r="J34" t="s">
        <v>157</v>
      </c>
    </row>
    <row r="35" spans="1:10" x14ac:dyDescent="0.25">
      <c r="A35" t="s">
        <v>63</v>
      </c>
      <c r="B35">
        <v>1</v>
      </c>
      <c r="C35" t="s">
        <v>63</v>
      </c>
      <c r="D35">
        <v>20</v>
      </c>
      <c r="G35" t="s">
        <v>156</v>
      </c>
      <c r="J35" t="s">
        <v>158</v>
      </c>
    </row>
    <row r="36" spans="1:10" x14ac:dyDescent="0.25">
      <c r="A36" t="s">
        <v>177</v>
      </c>
      <c r="B36">
        <v>1</v>
      </c>
      <c r="C36" t="s">
        <v>175</v>
      </c>
      <c r="D36">
        <v>20</v>
      </c>
      <c r="F36">
        <v>96</v>
      </c>
      <c r="G36" t="s">
        <v>166</v>
      </c>
      <c r="H36" t="s">
        <v>215</v>
      </c>
      <c r="J36" t="s">
        <v>158</v>
      </c>
    </row>
    <row r="37" spans="1:10" x14ac:dyDescent="0.25">
      <c r="A37" t="s">
        <v>178</v>
      </c>
      <c r="B37">
        <v>1</v>
      </c>
      <c r="C37" t="s">
        <v>88</v>
      </c>
      <c r="D37" t="s">
        <v>86</v>
      </c>
      <c r="E37">
        <v>20</v>
      </c>
      <c r="G37" t="s">
        <v>166</v>
      </c>
      <c r="J37" t="s">
        <v>158</v>
      </c>
    </row>
    <row r="38" spans="1:10" x14ac:dyDescent="0.25">
      <c r="A38" t="s">
        <v>179</v>
      </c>
      <c r="B38">
        <v>1</v>
      </c>
      <c r="C38" t="s">
        <v>88</v>
      </c>
      <c r="D38" t="s">
        <v>85</v>
      </c>
      <c r="E38">
        <v>15</v>
      </c>
      <c r="G38" t="s">
        <v>156</v>
      </c>
      <c r="J38" t="s">
        <v>158</v>
      </c>
    </row>
    <row r="39" spans="1:10" x14ac:dyDescent="0.25">
      <c r="A39" t="s">
        <v>180</v>
      </c>
      <c r="B39">
        <v>2</v>
      </c>
      <c r="C39" t="s">
        <v>63</v>
      </c>
      <c r="D39">
        <v>12</v>
      </c>
      <c r="G39" t="s">
        <v>166</v>
      </c>
      <c r="J39" t="s">
        <v>158</v>
      </c>
    </row>
    <row r="40" spans="1:10" x14ac:dyDescent="0.25">
      <c r="A40" t="s">
        <v>181</v>
      </c>
      <c r="B40">
        <v>2</v>
      </c>
      <c r="C40" t="s">
        <v>63</v>
      </c>
      <c r="D40">
        <v>80</v>
      </c>
      <c r="G40" t="s">
        <v>216</v>
      </c>
      <c r="J40" t="s">
        <v>158</v>
      </c>
    </row>
    <row r="41" spans="1:10" x14ac:dyDescent="0.25">
      <c r="A41" t="s">
        <v>182</v>
      </c>
      <c r="B41">
        <v>2</v>
      </c>
      <c r="C41" t="s">
        <v>64</v>
      </c>
      <c r="D41" t="s">
        <v>39</v>
      </c>
      <c r="G41" t="s">
        <v>156</v>
      </c>
      <c r="J41" t="s">
        <v>158</v>
      </c>
    </row>
    <row r="42" spans="1:10" x14ac:dyDescent="0.25">
      <c r="A42" t="s">
        <v>183</v>
      </c>
      <c r="B42">
        <v>2</v>
      </c>
      <c r="C42" t="s">
        <v>88</v>
      </c>
      <c r="D42" t="s">
        <v>227</v>
      </c>
      <c r="E42">
        <v>80</v>
      </c>
      <c r="G42" t="s">
        <v>166</v>
      </c>
      <c r="J42" t="s">
        <v>158</v>
      </c>
    </row>
    <row r="43" spans="1:10" x14ac:dyDescent="0.25">
      <c r="A43" t="s">
        <v>184</v>
      </c>
      <c r="B43">
        <v>3</v>
      </c>
      <c r="C43" t="s">
        <v>63</v>
      </c>
      <c r="D43">
        <v>40</v>
      </c>
      <c r="G43" t="s">
        <v>156</v>
      </c>
      <c r="J43" t="s">
        <v>158</v>
      </c>
    </row>
    <row r="44" spans="1:10" x14ac:dyDescent="0.25">
      <c r="A44" t="s">
        <v>185</v>
      </c>
      <c r="B44">
        <v>3</v>
      </c>
      <c r="C44" t="s">
        <v>175</v>
      </c>
      <c r="D44">
        <v>40</v>
      </c>
      <c r="F44">
        <v>104</v>
      </c>
      <c r="G44" t="s">
        <v>166</v>
      </c>
      <c r="H44" t="s">
        <v>215</v>
      </c>
      <c r="J44" t="s">
        <v>158</v>
      </c>
    </row>
    <row r="45" spans="1:10" x14ac:dyDescent="0.25">
      <c r="A45" t="s">
        <v>186</v>
      </c>
      <c r="B45">
        <v>3</v>
      </c>
      <c r="C45" t="s">
        <v>68</v>
      </c>
      <c r="D45" t="s">
        <v>224</v>
      </c>
      <c r="G45" t="s">
        <v>166</v>
      </c>
      <c r="J45" t="s">
        <v>158</v>
      </c>
    </row>
    <row r="46" spans="1:10" x14ac:dyDescent="0.25">
      <c r="A46" t="s">
        <v>187</v>
      </c>
      <c r="B46">
        <v>3</v>
      </c>
      <c r="C46" t="s">
        <v>88</v>
      </c>
      <c r="D46" t="s">
        <v>226</v>
      </c>
      <c r="E46">
        <v>15</v>
      </c>
      <c r="G46" t="s">
        <v>216</v>
      </c>
      <c r="J46" t="s">
        <v>158</v>
      </c>
    </row>
    <row r="47" spans="1:10" x14ac:dyDescent="0.25">
      <c r="A47" t="s">
        <v>188</v>
      </c>
      <c r="B47">
        <v>4</v>
      </c>
      <c r="C47" t="s">
        <v>63</v>
      </c>
      <c r="D47">
        <v>24</v>
      </c>
      <c r="G47" t="s">
        <v>223</v>
      </c>
      <c r="J47" t="s">
        <v>158</v>
      </c>
    </row>
    <row r="48" spans="1:10" x14ac:dyDescent="0.25">
      <c r="A48" t="s">
        <v>189</v>
      </c>
      <c r="B48">
        <v>4</v>
      </c>
      <c r="C48" t="s">
        <v>64</v>
      </c>
      <c r="D48" t="s">
        <v>40</v>
      </c>
      <c r="G48" t="s">
        <v>40</v>
      </c>
      <c r="J48" t="s">
        <v>158</v>
      </c>
    </row>
    <row r="49" spans="1:11" x14ac:dyDescent="0.25">
      <c r="A49" t="s">
        <v>190</v>
      </c>
      <c r="B49">
        <v>4</v>
      </c>
      <c r="C49" t="s">
        <v>88</v>
      </c>
      <c r="D49" t="s">
        <v>85</v>
      </c>
      <c r="E49">
        <v>15</v>
      </c>
      <c r="G49" t="s">
        <v>166</v>
      </c>
      <c r="J49" t="s">
        <v>158</v>
      </c>
    </row>
    <row r="50" spans="1:11" x14ac:dyDescent="0.25">
      <c r="A50" t="s">
        <v>191</v>
      </c>
      <c r="B50">
        <v>4</v>
      </c>
      <c r="C50" t="s">
        <v>64</v>
      </c>
      <c r="D50" t="s">
        <v>52</v>
      </c>
      <c r="G50" t="s">
        <v>156</v>
      </c>
      <c r="J50" t="s">
        <v>158</v>
      </c>
    </row>
    <row r="51" spans="1:11" x14ac:dyDescent="0.25">
      <c r="A51" t="s">
        <v>192</v>
      </c>
      <c r="B51">
        <v>5</v>
      </c>
      <c r="C51" t="s">
        <v>66</v>
      </c>
      <c r="D51">
        <v>50</v>
      </c>
      <c r="E51" t="s">
        <v>37</v>
      </c>
      <c r="F51">
        <v>96</v>
      </c>
      <c r="G51" t="s">
        <v>156</v>
      </c>
      <c r="H51" t="s">
        <v>166</v>
      </c>
      <c r="J51" t="s">
        <v>158</v>
      </c>
    </row>
    <row r="52" spans="1:11" x14ac:dyDescent="0.25">
      <c r="A52" t="s">
        <v>193</v>
      </c>
      <c r="B52">
        <v>5</v>
      </c>
      <c r="C52" t="s">
        <v>63</v>
      </c>
      <c r="D52">
        <v>80</v>
      </c>
      <c r="G52" t="s">
        <v>156</v>
      </c>
      <c r="J52" t="s">
        <v>158</v>
      </c>
    </row>
    <row r="53" spans="1:11" x14ac:dyDescent="0.25">
      <c r="A53" t="s">
        <v>194</v>
      </c>
      <c r="B53">
        <v>5</v>
      </c>
      <c r="C53" t="s">
        <v>68</v>
      </c>
      <c r="D53" t="s">
        <v>225</v>
      </c>
      <c r="G53" t="s">
        <v>166</v>
      </c>
      <c r="J53" t="s">
        <v>158</v>
      </c>
    </row>
    <row r="54" spans="1:11" x14ac:dyDescent="0.25">
      <c r="A54" t="s">
        <v>195</v>
      </c>
      <c r="B54">
        <v>5</v>
      </c>
      <c r="C54" t="s">
        <v>17</v>
      </c>
      <c r="D54" t="s">
        <v>228</v>
      </c>
      <c r="E54" t="s">
        <v>40</v>
      </c>
      <c r="F54">
        <v>96</v>
      </c>
      <c r="G54" t="s">
        <v>156</v>
      </c>
      <c r="J54" t="s">
        <v>158</v>
      </c>
    </row>
    <row r="55" spans="1:11" x14ac:dyDescent="0.25">
      <c r="A55" t="s">
        <v>196</v>
      </c>
      <c r="B55">
        <v>6</v>
      </c>
      <c r="C55" t="s">
        <v>63</v>
      </c>
      <c r="D55">
        <v>48</v>
      </c>
      <c r="E55" t="s">
        <v>39</v>
      </c>
      <c r="G55" t="s">
        <v>166</v>
      </c>
      <c r="J55" t="s">
        <v>158</v>
      </c>
    </row>
    <row r="56" spans="1:11" x14ac:dyDescent="0.25">
      <c r="A56" t="s">
        <v>197</v>
      </c>
      <c r="B56">
        <v>6</v>
      </c>
      <c r="C56" t="s">
        <v>175</v>
      </c>
      <c r="D56">
        <v>100</v>
      </c>
      <c r="F56">
        <v>112</v>
      </c>
      <c r="G56" t="s">
        <v>166</v>
      </c>
      <c r="H56" t="s">
        <v>215</v>
      </c>
      <c r="I56" t="s">
        <v>43</v>
      </c>
      <c r="J56" t="s">
        <v>158</v>
      </c>
    </row>
    <row r="57" spans="1:11" x14ac:dyDescent="0.25">
      <c r="A57" t="s">
        <v>198</v>
      </c>
      <c r="B57">
        <v>6</v>
      </c>
      <c r="C57" t="s">
        <v>64</v>
      </c>
      <c r="D57" t="s">
        <v>221</v>
      </c>
      <c r="G57" t="s">
        <v>166</v>
      </c>
      <c r="J57" t="s">
        <v>158</v>
      </c>
    </row>
    <row r="58" spans="1:11" x14ac:dyDescent="0.25">
      <c r="A58" t="s">
        <v>199</v>
      </c>
      <c r="B58">
        <v>6</v>
      </c>
      <c r="C58" t="s">
        <v>88</v>
      </c>
      <c r="D58" t="s">
        <v>86</v>
      </c>
      <c r="E58">
        <v>50</v>
      </c>
      <c r="G58" t="s">
        <v>223</v>
      </c>
      <c r="J58" t="s">
        <v>158</v>
      </c>
      <c r="K58" t="s">
        <v>229</v>
      </c>
    </row>
    <row r="59" spans="1:11" x14ac:dyDescent="0.25">
      <c r="A59" t="s">
        <v>200</v>
      </c>
      <c r="B59">
        <v>7</v>
      </c>
      <c r="C59" t="s">
        <v>63</v>
      </c>
      <c r="D59">
        <v>999</v>
      </c>
      <c r="E59" t="s">
        <v>221</v>
      </c>
      <c r="G59" t="s">
        <v>156</v>
      </c>
      <c r="J59" t="s">
        <v>158</v>
      </c>
    </row>
    <row r="60" spans="1:11" x14ac:dyDescent="0.25">
      <c r="A60" t="s">
        <v>201</v>
      </c>
      <c r="B60">
        <v>7</v>
      </c>
      <c r="C60" t="s">
        <v>63</v>
      </c>
      <c r="D60">
        <v>999</v>
      </c>
      <c r="E60" t="s">
        <v>40</v>
      </c>
      <c r="G60" t="s">
        <v>40</v>
      </c>
      <c r="J60" t="s">
        <v>158</v>
      </c>
    </row>
    <row r="61" spans="1:11" x14ac:dyDescent="0.25">
      <c r="A61" t="s">
        <v>202</v>
      </c>
      <c r="B61">
        <v>7</v>
      </c>
      <c r="C61" t="s">
        <v>68</v>
      </c>
      <c r="D61" t="s">
        <v>222</v>
      </c>
      <c r="G61" t="s">
        <v>223</v>
      </c>
      <c r="J61" t="s">
        <v>158</v>
      </c>
    </row>
    <row r="62" spans="1:11" x14ac:dyDescent="0.25">
      <c r="A62" t="s">
        <v>352</v>
      </c>
      <c r="B62">
        <v>7</v>
      </c>
      <c r="C62" t="s">
        <v>138</v>
      </c>
      <c r="D62" t="s">
        <v>85</v>
      </c>
      <c r="E62">
        <v>20</v>
      </c>
      <c r="G62" t="s">
        <v>156</v>
      </c>
      <c r="H62" t="s">
        <v>227</v>
      </c>
      <c r="I62">
        <v>60</v>
      </c>
      <c r="J62" t="s">
        <v>158</v>
      </c>
    </row>
    <row r="63" spans="1:11" x14ac:dyDescent="0.25">
      <c r="A63" t="s">
        <v>203</v>
      </c>
      <c r="B63">
        <v>8</v>
      </c>
      <c r="C63" t="s">
        <v>63</v>
      </c>
      <c r="D63">
        <v>96</v>
      </c>
      <c r="E63" t="s">
        <v>219</v>
      </c>
      <c r="G63" t="s">
        <v>166</v>
      </c>
      <c r="J63" t="s">
        <v>158</v>
      </c>
    </row>
    <row r="64" spans="1:11" x14ac:dyDescent="0.25">
      <c r="A64" t="s">
        <v>204</v>
      </c>
      <c r="B64">
        <v>8</v>
      </c>
      <c r="C64" t="s">
        <v>175</v>
      </c>
      <c r="D64">
        <v>150</v>
      </c>
      <c r="F64">
        <v>120</v>
      </c>
      <c r="G64" t="s">
        <v>166</v>
      </c>
      <c r="H64" t="s">
        <v>215</v>
      </c>
      <c r="I64" t="s">
        <v>44</v>
      </c>
      <c r="J64" t="s">
        <v>158</v>
      </c>
    </row>
    <row r="65" spans="1:10" x14ac:dyDescent="0.25">
      <c r="A65" t="s">
        <v>205</v>
      </c>
      <c r="B65">
        <v>8</v>
      </c>
      <c r="C65" t="s">
        <v>17</v>
      </c>
      <c r="D65" t="s">
        <v>205</v>
      </c>
      <c r="F65">
        <v>136</v>
      </c>
      <c r="G65" t="s">
        <v>166</v>
      </c>
      <c r="J65" t="s">
        <v>158</v>
      </c>
    </row>
    <row r="66" spans="1:10" x14ac:dyDescent="0.25">
      <c r="A66" t="s">
        <v>206</v>
      </c>
      <c r="B66">
        <v>8</v>
      </c>
      <c r="C66" t="s">
        <v>88</v>
      </c>
      <c r="D66" t="s">
        <v>218</v>
      </c>
      <c r="E66">
        <v>30</v>
      </c>
      <c r="G66" t="s">
        <v>166</v>
      </c>
      <c r="J66" t="s">
        <v>158</v>
      </c>
    </row>
    <row r="70" spans="1:10" x14ac:dyDescent="0.25">
      <c r="A70" t="s">
        <v>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598F-2701-4EB9-9E21-89805A056381}">
  <dimension ref="A1:B1"/>
  <sheetViews>
    <sheetView workbookViewId="0">
      <selection activeCell="G56" sqref="G56"/>
    </sheetView>
  </sheetViews>
  <sheetFormatPr baseColWidth="10" defaultRowHeight="15" x14ac:dyDescent="0.25"/>
  <sheetData>
    <row r="1" spans="1:2" x14ac:dyDescent="0.25">
      <c r="A1" t="s">
        <v>0</v>
      </c>
      <c r="B1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37D3-09E5-4F72-9862-0BC090A65EBA}">
  <dimension ref="A1"/>
  <sheetViews>
    <sheetView workbookViewId="0">
      <selection activeCell="I48" sqref="I48"/>
    </sheetView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2178-849D-4936-9544-6EBE63FD0163}">
  <dimension ref="A1:BN57"/>
  <sheetViews>
    <sheetView workbookViewId="0">
      <selection activeCell="T44" sqref="T44"/>
    </sheetView>
  </sheetViews>
  <sheetFormatPr baseColWidth="10" defaultRowHeight="15" x14ac:dyDescent="0.25"/>
  <cols>
    <col min="1" max="1" width="18.28515625" customWidth="1"/>
  </cols>
  <sheetData>
    <row r="1" spans="1:66" x14ac:dyDescent="0.25"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155</v>
      </c>
      <c r="N1" t="s">
        <v>154</v>
      </c>
      <c r="O1" t="s">
        <v>152</v>
      </c>
      <c r="P1" t="s">
        <v>153</v>
      </c>
      <c r="T1" t="s">
        <v>150</v>
      </c>
      <c r="U1" t="s">
        <v>151</v>
      </c>
      <c r="X1" t="s">
        <v>132</v>
      </c>
      <c r="Y1" t="s">
        <v>7</v>
      </c>
      <c r="Z1" t="s">
        <v>82</v>
      </c>
      <c r="AA1" t="s">
        <v>121</v>
      </c>
      <c r="AB1" t="s">
        <v>79</v>
      </c>
      <c r="AC1" t="s">
        <v>123</v>
      </c>
      <c r="AD1" t="s">
        <v>124</v>
      </c>
      <c r="AE1" t="s">
        <v>125</v>
      </c>
      <c r="AF1" t="s">
        <v>11</v>
      </c>
      <c r="AG1" t="s">
        <v>82</v>
      </c>
      <c r="AH1" t="s">
        <v>121</v>
      </c>
      <c r="AI1" t="s">
        <v>79</v>
      </c>
      <c r="AJ1" t="s">
        <v>123</v>
      </c>
      <c r="AK1" t="s">
        <v>124</v>
      </c>
      <c r="AL1" t="s">
        <v>125</v>
      </c>
      <c r="AM1" t="s">
        <v>15</v>
      </c>
      <c r="AN1" t="s">
        <v>82</v>
      </c>
      <c r="AO1" t="s">
        <v>121</v>
      </c>
      <c r="AP1" t="s">
        <v>79</v>
      </c>
      <c r="AQ1" t="s">
        <v>123</v>
      </c>
      <c r="AR1" t="s">
        <v>124</v>
      </c>
      <c r="AS1" t="s">
        <v>125</v>
      </c>
      <c r="AT1" t="s">
        <v>135</v>
      </c>
      <c r="AU1" t="s">
        <v>82</v>
      </c>
      <c r="AV1" t="s">
        <v>121</v>
      </c>
      <c r="AW1" t="s">
        <v>79</v>
      </c>
      <c r="AX1" t="s">
        <v>123</v>
      </c>
      <c r="AY1" t="s">
        <v>124</v>
      </c>
      <c r="AZ1" t="s">
        <v>125</v>
      </c>
      <c r="BA1" t="s">
        <v>133</v>
      </c>
      <c r="BB1" t="s">
        <v>82</v>
      </c>
      <c r="BC1" t="s">
        <v>121</v>
      </c>
      <c r="BD1" t="s">
        <v>79</v>
      </c>
      <c r="BE1" t="s">
        <v>123</v>
      </c>
      <c r="BF1" t="s">
        <v>124</v>
      </c>
      <c r="BG1" t="s">
        <v>125</v>
      </c>
      <c r="BH1" t="s">
        <v>134</v>
      </c>
      <c r="BI1" t="s">
        <v>82</v>
      </c>
      <c r="BJ1" t="s">
        <v>121</v>
      </c>
      <c r="BK1" t="s">
        <v>79</v>
      </c>
      <c r="BL1" t="s">
        <v>123</v>
      </c>
      <c r="BM1" t="s">
        <v>124</v>
      </c>
      <c r="BN1" t="s">
        <v>125</v>
      </c>
    </row>
    <row r="2" spans="1:66" x14ac:dyDescent="0.25">
      <c r="A2" t="s">
        <v>7</v>
      </c>
      <c r="B2">
        <v>35</v>
      </c>
      <c r="C2">
        <v>20</v>
      </c>
      <c r="D2">
        <v>5</v>
      </c>
      <c r="E2">
        <v>1</v>
      </c>
      <c r="F2">
        <v>10</v>
      </c>
      <c r="G2">
        <v>5</v>
      </c>
      <c r="H2">
        <v>10</v>
      </c>
      <c r="I2">
        <v>10</v>
      </c>
      <c r="J2">
        <v>0</v>
      </c>
      <c r="K2">
        <v>3</v>
      </c>
      <c r="L2">
        <v>2</v>
      </c>
      <c r="M2">
        <f t="shared" ref="M2:N7" si="0">H2+($T$2-1)*K2</f>
        <v>52</v>
      </c>
      <c r="N2">
        <f t="shared" si="0"/>
        <v>38</v>
      </c>
      <c r="O2">
        <f t="shared" ref="O2:P7" si="1">H2+($U$2-1)*K2</f>
        <v>97</v>
      </c>
      <c r="P2">
        <f t="shared" si="1"/>
        <v>68</v>
      </c>
      <c r="T2">
        <v>15</v>
      </c>
      <c r="U2">
        <v>30</v>
      </c>
      <c r="X2">
        <v>2</v>
      </c>
      <c r="Z2" s="17" t="s">
        <v>110</v>
      </c>
      <c r="AA2" s="17" t="s">
        <v>110</v>
      </c>
      <c r="AB2" s="17" t="s">
        <v>110</v>
      </c>
      <c r="AC2" s="17"/>
      <c r="AD2" s="17" t="s">
        <v>110</v>
      </c>
      <c r="AE2" s="17"/>
      <c r="AG2" s="15" t="s">
        <v>110</v>
      </c>
      <c r="AH2" s="15" t="s">
        <v>110</v>
      </c>
      <c r="AI2" s="15" t="s">
        <v>110</v>
      </c>
      <c r="AJ2" s="15"/>
      <c r="AK2" s="15"/>
      <c r="AL2" s="15" t="s">
        <v>110</v>
      </c>
      <c r="AN2" s="12" t="s">
        <v>110</v>
      </c>
      <c r="AO2" s="12"/>
      <c r="AP2" s="12" t="s">
        <v>110</v>
      </c>
      <c r="AQ2" s="12"/>
      <c r="AR2" s="12" t="s">
        <v>110</v>
      </c>
      <c r="AS2" s="12" t="s">
        <v>110</v>
      </c>
      <c r="AU2" s="9" t="s">
        <v>110</v>
      </c>
      <c r="AV2" s="9" t="s">
        <v>110</v>
      </c>
      <c r="AW2" s="9"/>
      <c r="AX2" s="9"/>
      <c r="AY2" s="9" t="s">
        <v>110</v>
      </c>
      <c r="AZ2" s="9" t="s">
        <v>110</v>
      </c>
      <c r="BB2" s="6" t="s">
        <v>110</v>
      </c>
      <c r="BC2" s="6" t="s">
        <v>110</v>
      </c>
      <c r="BD2" s="6" t="s">
        <v>110</v>
      </c>
      <c r="BE2" s="6" t="s">
        <v>110</v>
      </c>
      <c r="BF2" s="6"/>
      <c r="BG2" s="6" t="s">
        <v>110</v>
      </c>
      <c r="BI2" s="3" t="s">
        <v>110</v>
      </c>
      <c r="BJ2" s="3"/>
      <c r="BK2" s="3"/>
      <c r="BL2" s="3" t="s">
        <v>110</v>
      </c>
      <c r="BM2" s="3"/>
      <c r="BN2" s="3"/>
    </row>
    <row r="3" spans="1:66" x14ac:dyDescent="0.25">
      <c r="A3" t="s">
        <v>11</v>
      </c>
      <c r="B3">
        <v>30</v>
      </c>
      <c r="C3">
        <v>5</v>
      </c>
      <c r="D3">
        <v>10</v>
      </c>
      <c r="E3">
        <v>15</v>
      </c>
      <c r="F3">
        <v>5</v>
      </c>
      <c r="G3">
        <v>15</v>
      </c>
      <c r="H3">
        <v>15</v>
      </c>
      <c r="I3">
        <v>15</v>
      </c>
      <c r="J3">
        <v>0</v>
      </c>
      <c r="K3">
        <v>3</v>
      </c>
      <c r="L3">
        <v>2</v>
      </c>
      <c r="M3">
        <f t="shared" si="0"/>
        <v>57</v>
      </c>
      <c r="N3">
        <f t="shared" si="0"/>
        <v>43</v>
      </c>
      <c r="O3">
        <f t="shared" si="1"/>
        <v>102</v>
      </c>
      <c r="P3">
        <f t="shared" si="1"/>
        <v>73</v>
      </c>
      <c r="X3">
        <v>3</v>
      </c>
      <c r="Z3" s="17" t="s">
        <v>110</v>
      </c>
      <c r="AA3" s="17" t="s">
        <v>110</v>
      </c>
      <c r="AB3" s="17" t="s">
        <v>110</v>
      </c>
      <c r="AC3" s="17"/>
      <c r="AD3" s="17" t="s">
        <v>110</v>
      </c>
      <c r="AE3" s="17" t="s">
        <v>110</v>
      </c>
      <c r="AG3" s="15" t="s">
        <v>110</v>
      </c>
      <c r="AH3" s="15" t="s">
        <v>110</v>
      </c>
      <c r="AI3" s="15"/>
      <c r="AJ3" s="15" t="s">
        <v>110</v>
      </c>
      <c r="AK3" s="15" t="s">
        <v>110</v>
      </c>
      <c r="AL3" s="15" t="s">
        <v>110</v>
      </c>
      <c r="AN3" s="12"/>
      <c r="AO3" s="12" t="s">
        <v>110</v>
      </c>
      <c r="AP3" s="12"/>
      <c r="AQ3" s="12" t="s">
        <v>110</v>
      </c>
      <c r="AR3" s="12" t="s">
        <v>110</v>
      </c>
      <c r="AS3" s="12" t="s">
        <v>110</v>
      </c>
      <c r="AU3" s="9"/>
      <c r="AV3" s="9"/>
      <c r="AW3" s="9" t="s">
        <v>110</v>
      </c>
      <c r="AX3" s="9" t="s">
        <v>110</v>
      </c>
      <c r="AY3" s="9" t="s">
        <v>110</v>
      </c>
      <c r="AZ3" s="9"/>
      <c r="BB3" s="6"/>
      <c r="BC3" s="6" t="s">
        <v>110</v>
      </c>
      <c r="BD3" s="6" t="s">
        <v>110</v>
      </c>
      <c r="BE3" s="6" t="s">
        <v>110</v>
      </c>
      <c r="BF3" s="6" t="s">
        <v>110</v>
      </c>
      <c r="BG3" s="6"/>
      <c r="BI3" s="3"/>
      <c r="BJ3" s="3"/>
      <c r="BK3" s="3" t="s">
        <v>110</v>
      </c>
      <c r="BL3" s="3" t="s">
        <v>110</v>
      </c>
      <c r="BM3" s="3" t="s">
        <v>110</v>
      </c>
      <c r="BN3" s="3"/>
    </row>
    <row r="4" spans="1:66" x14ac:dyDescent="0.25">
      <c r="A4" t="s">
        <v>15</v>
      </c>
      <c r="B4">
        <v>33</v>
      </c>
      <c r="C4">
        <v>5</v>
      </c>
      <c r="D4">
        <v>5</v>
      </c>
      <c r="E4">
        <v>1</v>
      </c>
      <c r="F4">
        <v>20</v>
      </c>
      <c r="G4">
        <v>5</v>
      </c>
      <c r="H4">
        <v>5</v>
      </c>
      <c r="I4">
        <v>5</v>
      </c>
      <c r="J4">
        <v>2</v>
      </c>
      <c r="K4">
        <v>3</v>
      </c>
      <c r="L4">
        <v>1</v>
      </c>
      <c r="M4">
        <f t="shared" si="0"/>
        <v>47</v>
      </c>
      <c r="N4">
        <f t="shared" si="0"/>
        <v>19</v>
      </c>
      <c r="O4">
        <f t="shared" si="1"/>
        <v>92</v>
      </c>
      <c r="P4">
        <f t="shared" si="1"/>
        <v>34</v>
      </c>
      <c r="X4">
        <v>4</v>
      </c>
      <c r="Z4" s="17" t="s">
        <v>110</v>
      </c>
      <c r="AA4" s="17" t="s">
        <v>110</v>
      </c>
      <c r="AB4" s="17" t="s">
        <v>110</v>
      </c>
      <c r="AC4" s="17" t="s">
        <v>110</v>
      </c>
      <c r="AD4" s="17"/>
      <c r="AE4" s="17" t="s">
        <v>110</v>
      </c>
      <c r="AG4" s="15" t="s">
        <v>110</v>
      </c>
      <c r="AH4" s="15" t="s">
        <v>110</v>
      </c>
      <c r="AI4" s="15" t="s">
        <v>110</v>
      </c>
      <c r="AJ4" s="15"/>
      <c r="AK4" s="15"/>
      <c r="AL4" s="15" t="s">
        <v>110</v>
      </c>
      <c r="AN4" s="12" t="s">
        <v>110</v>
      </c>
      <c r="AO4" s="12"/>
      <c r="AP4" s="12" t="s">
        <v>110</v>
      </c>
      <c r="AQ4" s="12"/>
      <c r="AR4" s="12" t="s">
        <v>110</v>
      </c>
      <c r="AS4" s="12"/>
      <c r="AU4" s="9" t="s">
        <v>110</v>
      </c>
      <c r="AV4" s="9" t="s">
        <v>110</v>
      </c>
      <c r="AW4" s="9"/>
      <c r="AX4" s="9"/>
      <c r="AY4" s="9" t="s">
        <v>110</v>
      </c>
      <c r="AZ4" s="9" t="s">
        <v>110</v>
      </c>
      <c r="BB4" s="6" t="s">
        <v>110</v>
      </c>
      <c r="BC4" s="6" t="s">
        <v>110</v>
      </c>
      <c r="BD4" s="6"/>
      <c r="BE4" s="6" t="s">
        <v>110</v>
      </c>
      <c r="BF4" s="6"/>
      <c r="BG4" s="6" t="s">
        <v>110</v>
      </c>
      <c r="BI4" s="3" t="s">
        <v>110</v>
      </c>
      <c r="BJ4" s="3" t="s">
        <v>110</v>
      </c>
      <c r="BK4" s="3"/>
      <c r="BL4" s="3" t="s">
        <v>110</v>
      </c>
      <c r="BM4" s="3"/>
      <c r="BN4" s="3" t="s">
        <v>110</v>
      </c>
    </row>
    <row r="5" spans="1:66" x14ac:dyDescent="0.25">
      <c r="A5" t="s">
        <v>119</v>
      </c>
      <c r="B5">
        <v>30</v>
      </c>
      <c r="C5">
        <v>10</v>
      </c>
      <c r="D5">
        <v>10</v>
      </c>
      <c r="E5">
        <v>10</v>
      </c>
      <c r="F5">
        <v>5</v>
      </c>
      <c r="G5">
        <v>5</v>
      </c>
      <c r="H5">
        <v>7</v>
      </c>
      <c r="I5">
        <v>20</v>
      </c>
      <c r="J5">
        <v>0</v>
      </c>
      <c r="K5">
        <v>2</v>
      </c>
      <c r="L5">
        <v>3</v>
      </c>
      <c r="M5">
        <f t="shared" si="0"/>
        <v>35</v>
      </c>
      <c r="N5">
        <f t="shared" si="0"/>
        <v>62</v>
      </c>
      <c r="O5">
        <f t="shared" si="1"/>
        <v>65</v>
      </c>
      <c r="P5">
        <f t="shared" si="1"/>
        <v>107</v>
      </c>
      <c r="X5">
        <v>5</v>
      </c>
      <c r="Z5" s="17" t="s">
        <v>110</v>
      </c>
      <c r="AA5" s="17" t="s">
        <v>110</v>
      </c>
      <c r="AB5" s="17" t="s">
        <v>110</v>
      </c>
      <c r="AC5" s="17"/>
      <c r="AD5" s="17" t="s">
        <v>110</v>
      </c>
      <c r="AE5" s="17"/>
      <c r="AG5" s="15" t="s">
        <v>110</v>
      </c>
      <c r="AH5" s="15" t="s">
        <v>110</v>
      </c>
      <c r="AI5" s="15"/>
      <c r="AJ5" s="15" t="s">
        <v>110</v>
      </c>
      <c r="AK5" s="15"/>
      <c r="AL5" s="15" t="s">
        <v>110</v>
      </c>
      <c r="AN5" s="12"/>
      <c r="AO5" s="12" t="s">
        <v>110</v>
      </c>
      <c r="AP5" s="12"/>
      <c r="AQ5" s="12" t="s">
        <v>110</v>
      </c>
      <c r="AR5" s="12" t="s">
        <v>110</v>
      </c>
      <c r="AS5" s="12" t="s">
        <v>110</v>
      </c>
      <c r="AU5" s="9"/>
      <c r="AV5" s="9"/>
      <c r="AW5" s="9" t="s">
        <v>110</v>
      </c>
      <c r="AX5" s="9" t="s">
        <v>110</v>
      </c>
      <c r="AY5" s="9" t="s">
        <v>110</v>
      </c>
      <c r="AZ5" s="9"/>
      <c r="BB5" s="6"/>
      <c r="BC5" s="6"/>
      <c r="BD5" s="6" t="s">
        <v>110</v>
      </c>
      <c r="BE5" s="6" t="s">
        <v>110</v>
      </c>
      <c r="BF5" s="6" t="s">
        <v>110</v>
      </c>
      <c r="BG5" s="6"/>
      <c r="BI5" s="3"/>
      <c r="BJ5" s="3"/>
      <c r="BK5" s="3"/>
      <c r="BL5" s="3" t="s">
        <v>110</v>
      </c>
      <c r="BM5" s="3" t="s">
        <v>110</v>
      </c>
      <c r="BN5" s="3"/>
    </row>
    <row r="6" spans="1:66" x14ac:dyDescent="0.25">
      <c r="A6" t="s">
        <v>27</v>
      </c>
      <c r="B6">
        <v>25</v>
      </c>
      <c r="C6">
        <v>1</v>
      </c>
      <c r="D6">
        <v>10</v>
      </c>
      <c r="E6">
        <v>20</v>
      </c>
      <c r="F6">
        <v>1</v>
      </c>
      <c r="G6">
        <v>10</v>
      </c>
      <c r="H6">
        <v>5</v>
      </c>
      <c r="I6">
        <v>20</v>
      </c>
      <c r="J6">
        <v>0</v>
      </c>
      <c r="K6">
        <v>1</v>
      </c>
      <c r="L6">
        <v>4</v>
      </c>
      <c r="M6">
        <f t="shared" si="0"/>
        <v>19</v>
      </c>
      <c r="N6">
        <f t="shared" si="0"/>
        <v>76</v>
      </c>
      <c r="O6">
        <f t="shared" si="1"/>
        <v>34</v>
      </c>
      <c r="P6">
        <f t="shared" si="1"/>
        <v>136</v>
      </c>
      <c r="X6">
        <v>6</v>
      </c>
      <c r="Z6" s="17" t="s">
        <v>110</v>
      </c>
      <c r="AA6" s="17" t="s">
        <v>110</v>
      </c>
      <c r="AB6" s="17" t="s">
        <v>110</v>
      </c>
      <c r="AC6" s="17"/>
      <c r="AD6" s="17" t="s">
        <v>110</v>
      </c>
      <c r="AE6" s="17" t="s">
        <v>110</v>
      </c>
      <c r="AG6" s="15"/>
      <c r="AH6" s="15" t="s">
        <v>110</v>
      </c>
      <c r="AI6" s="15" t="s">
        <v>110</v>
      </c>
      <c r="AJ6" s="15"/>
      <c r="AK6" s="15" t="s">
        <v>110</v>
      </c>
      <c r="AL6" s="15" t="s">
        <v>110</v>
      </c>
      <c r="AN6" s="12"/>
      <c r="AO6" s="12"/>
      <c r="AP6" s="12" t="s">
        <v>110</v>
      </c>
      <c r="AQ6" s="12"/>
      <c r="AR6" s="12" t="s">
        <v>110</v>
      </c>
      <c r="AS6" s="12" t="s">
        <v>110</v>
      </c>
      <c r="AU6" s="9" t="s">
        <v>110</v>
      </c>
      <c r="AV6" s="9" t="s">
        <v>110</v>
      </c>
      <c r="AW6" s="9"/>
      <c r="AX6" s="9"/>
      <c r="AY6" s="9" t="s">
        <v>110</v>
      </c>
      <c r="AZ6" s="9" t="s">
        <v>110</v>
      </c>
      <c r="BB6" s="6" t="s">
        <v>110</v>
      </c>
      <c r="BC6" s="6"/>
      <c r="BD6" s="6"/>
      <c r="BE6" s="6" t="s">
        <v>110</v>
      </c>
      <c r="BF6" s="6"/>
      <c r="BG6" s="6" t="s">
        <v>110</v>
      </c>
      <c r="BI6" s="3" t="s">
        <v>110</v>
      </c>
      <c r="BJ6" s="3"/>
      <c r="BK6" s="3" t="s">
        <v>110</v>
      </c>
      <c r="BL6" s="3" t="s">
        <v>110</v>
      </c>
      <c r="BM6" s="3"/>
      <c r="BN6" s="3" t="s">
        <v>110</v>
      </c>
    </row>
    <row r="7" spans="1:66" x14ac:dyDescent="0.25">
      <c r="A7" t="s">
        <v>30</v>
      </c>
      <c r="B7">
        <v>28</v>
      </c>
      <c r="C7">
        <v>5</v>
      </c>
      <c r="D7">
        <v>1</v>
      </c>
      <c r="E7">
        <v>15</v>
      </c>
      <c r="F7">
        <v>10</v>
      </c>
      <c r="G7">
        <v>5</v>
      </c>
      <c r="H7">
        <v>5</v>
      </c>
      <c r="I7">
        <v>20</v>
      </c>
      <c r="J7">
        <v>0</v>
      </c>
      <c r="K7">
        <v>1</v>
      </c>
      <c r="L7">
        <v>4</v>
      </c>
      <c r="M7">
        <f t="shared" si="0"/>
        <v>19</v>
      </c>
      <c r="N7">
        <f t="shared" si="0"/>
        <v>76</v>
      </c>
      <c r="O7">
        <f t="shared" si="1"/>
        <v>34</v>
      </c>
      <c r="P7">
        <f t="shared" si="1"/>
        <v>136</v>
      </c>
      <c r="X7">
        <v>7</v>
      </c>
      <c r="Z7" s="17" t="s">
        <v>110</v>
      </c>
      <c r="AA7" s="17" t="s">
        <v>110</v>
      </c>
      <c r="AB7" s="17" t="s">
        <v>110</v>
      </c>
      <c r="AC7" s="17" t="s">
        <v>110</v>
      </c>
      <c r="AD7" s="17"/>
      <c r="AE7" s="17" t="s">
        <v>110</v>
      </c>
      <c r="AG7" s="15" t="s">
        <v>110</v>
      </c>
      <c r="AH7" s="15" t="s">
        <v>110</v>
      </c>
      <c r="AI7" s="15"/>
      <c r="AJ7" s="15" t="s">
        <v>110</v>
      </c>
      <c r="AK7" s="15"/>
      <c r="AL7" s="15" t="s">
        <v>110</v>
      </c>
      <c r="AN7" s="12" t="s">
        <v>110</v>
      </c>
      <c r="AO7" s="12" t="s">
        <v>110</v>
      </c>
      <c r="AP7" s="12"/>
      <c r="AQ7" s="12" t="s">
        <v>110</v>
      </c>
      <c r="AR7" s="12" t="s">
        <v>110</v>
      </c>
      <c r="AS7" s="12"/>
      <c r="AU7" s="9"/>
      <c r="AV7" s="9"/>
      <c r="AW7" s="9" t="s">
        <v>110</v>
      </c>
      <c r="AX7" s="9" t="s">
        <v>110</v>
      </c>
      <c r="AY7" s="9"/>
      <c r="AZ7" s="9"/>
      <c r="BB7" s="6"/>
      <c r="BC7" s="6" t="s">
        <v>110</v>
      </c>
      <c r="BD7" s="6"/>
      <c r="BE7" s="6" t="s">
        <v>110</v>
      </c>
      <c r="BF7" s="6" t="s">
        <v>110</v>
      </c>
      <c r="BG7" s="6"/>
      <c r="BI7" s="3"/>
      <c r="BJ7" s="3" t="s">
        <v>110</v>
      </c>
      <c r="BK7" s="3"/>
      <c r="BL7" s="3" t="s">
        <v>110</v>
      </c>
      <c r="BM7" s="3" t="s">
        <v>110</v>
      </c>
      <c r="BN7" s="3"/>
    </row>
    <row r="8" spans="1:66" x14ac:dyDescent="0.25">
      <c r="X8">
        <v>8</v>
      </c>
      <c r="Z8" s="17" t="s">
        <v>110</v>
      </c>
      <c r="AA8" s="17" t="s">
        <v>110</v>
      </c>
      <c r="AB8" s="17" t="s">
        <v>110</v>
      </c>
      <c r="AC8" s="17"/>
      <c r="AD8" s="17" t="s">
        <v>110</v>
      </c>
      <c r="AE8" s="17"/>
      <c r="AG8" s="15"/>
      <c r="AH8" s="15" t="s">
        <v>110</v>
      </c>
      <c r="AI8" s="15" t="s">
        <v>110</v>
      </c>
      <c r="AJ8" s="15"/>
      <c r="AK8" s="15"/>
      <c r="AL8" s="15" t="s">
        <v>110</v>
      </c>
      <c r="AN8" s="12"/>
      <c r="AO8" s="12"/>
      <c r="AP8" s="12" t="s">
        <v>110</v>
      </c>
      <c r="AQ8" s="12"/>
      <c r="AR8" s="12" t="s">
        <v>110</v>
      </c>
      <c r="AS8" s="12" t="s">
        <v>110</v>
      </c>
      <c r="AU8" s="9" t="s">
        <v>110</v>
      </c>
      <c r="AV8" s="9" t="s">
        <v>110</v>
      </c>
      <c r="AW8" s="9"/>
      <c r="AX8" s="9"/>
      <c r="AY8" s="9" t="s">
        <v>110</v>
      </c>
      <c r="AZ8" s="9" t="s">
        <v>110</v>
      </c>
      <c r="BB8" s="6" t="s">
        <v>110</v>
      </c>
      <c r="BC8" s="6"/>
      <c r="BD8" s="6" t="s">
        <v>110</v>
      </c>
      <c r="BE8" s="6" t="s">
        <v>110</v>
      </c>
      <c r="BF8" s="6"/>
      <c r="BG8" s="6" t="s">
        <v>110</v>
      </c>
      <c r="BI8" s="3" t="s">
        <v>110</v>
      </c>
      <c r="BJ8" s="3"/>
      <c r="BK8" s="3"/>
      <c r="BL8" s="3" t="s">
        <v>110</v>
      </c>
      <c r="BM8" s="3"/>
      <c r="BN8" s="3" t="s">
        <v>110</v>
      </c>
    </row>
    <row r="9" spans="1:66" x14ac:dyDescent="0.25">
      <c r="A9" t="s">
        <v>131</v>
      </c>
      <c r="X9">
        <v>9</v>
      </c>
      <c r="Z9" s="17" t="s">
        <v>110</v>
      </c>
      <c r="AA9" s="17" t="s">
        <v>110</v>
      </c>
      <c r="AB9" s="17" t="s">
        <v>110</v>
      </c>
      <c r="AC9" s="17"/>
      <c r="AD9" s="17" t="s">
        <v>110</v>
      </c>
      <c r="AE9" s="17" t="s">
        <v>110</v>
      </c>
      <c r="AG9" s="15" t="s">
        <v>110</v>
      </c>
      <c r="AH9" s="15" t="s">
        <v>110</v>
      </c>
      <c r="AI9" s="15"/>
      <c r="AJ9" s="15"/>
      <c r="AK9" s="15" t="s">
        <v>110</v>
      </c>
      <c r="AL9" s="15" t="s">
        <v>110</v>
      </c>
      <c r="AN9" s="12"/>
      <c r="AO9" s="12" t="s">
        <v>110</v>
      </c>
      <c r="AP9" s="12"/>
      <c r="AQ9" s="12" t="s">
        <v>110</v>
      </c>
      <c r="AR9" s="12" t="s">
        <v>110</v>
      </c>
      <c r="AS9" s="12" t="s">
        <v>110</v>
      </c>
      <c r="AU9" s="9" t="s">
        <v>110</v>
      </c>
      <c r="AV9" s="9"/>
      <c r="AW9" s="9" t="s">
        <v>110</v>
      </c>
      <c r="AX9" s="9" t="s">
        <v>110</v>
      </c>
      <c r="AY9" s="9"/>
      <c r="AZ9" s="9"/>
      <c r="BB9" s="6"/>
      <c r="BC9" s="6"/>
      <c r="BD9" s="6"/>
      <c r="BE9" s="6" t="s">
        <v>110</v>
      </c>
      <c r="BF9" s="6" t="s">
        <v>110</v>
      </c>
      <c r="BG9" s="6"/>
      <c r="BI9" s="3"/>
      <c r="BJ9" s="3"/>
      <c r="BK9" s="3" t="s">
        <v>110</v>
      </c>
      <c r="BL9" s="3" t="s">
        <v>110</v>
      </c>
      <c r="BM9" s="3" t="s">
        <v>110</v>
      </c>
      <c r="BN9" s="3"/>
    </row>
    <row r="10" spans="1:66" x14ac:dyDescent="0.25">
      <c r="A10" t="s">
        <v>8</v>
      </c>
      <c r="B10">
        <v>50</v>
      </c>
      <c r="C10">
        <v>0</v>
      </c>
      <c r="D10">
        <v>0</v>
      </c>
      <c r="E10">
        <v>5</v>
      </c>
      <c r="F10">
        <v>0</v>
      </c>
      <c r="G10">
        <v>0</v>
      </c>
      <c r="H10">
        <v>16</v>
      </c>
      <c r="I10">
        <v>0</v>
      </c>
      <c r="J10">
        <v>0</v>
      </c>
      <c r="M10">
        <f>$M$2 + H10</f>
        <v>68</v>
      </c>
      <c r="N10">
        <f>$N$2 + I10</f>
        <v>38</v>
      </c>
      <c r="O10">
        <f>$O$2 + H10</f>
        <v>113</v>
      </c>
      <c r="P10">
        <f>$P$2 + I10</f>
        <v>68</v>
      </c>
      <c r="X10">
        <v>10</v>
      </c>
      <c r="Z10" s="17" t="s">
        <v>110</v>
      </c>
      <c r="AA10" s="17" t="s">
        <v>110</v>
      </c>
      <c r="AB10" s="17" t="s">
        <v>110</v>
      </c>
      <c r="AC10" s="17" t="s">
        <v>110</v>
      </c>
      <c r="AD10" s="17"/>
      <c r="AE10" s="17" t="s">
        <v>110</v>
      </c>
      <c r="AG10" s="15"/>
      <c r="AH10" s="15" t="s">
        <v>110</v>
      </c>
      <c r="AI10" s="15" t="s">
        <v>110</v>
      </c>
      <c r="AJ10" s="15" t="s">
        <v>110</v>
      </c>
      <c r="AK10" s="15"/>
      <c r="AL10" s="15" t="s">
        <v>110</v>
      </c>
      <c r="AN10" s="12" t="s">
        <v>110</v>
      </c>
      <c r="AO10" s="12"/>
      <c r="AP10" s="12" t="s">
        <v>110</v>
      </c>
      <c r="AQ10" s="12"/>
      <c r="AR10" s="12" t="s">
        <v>110</v>
      </c>
      <c r="AS10" s="12"/>
      <c r="AU10" s="9" t="s">
        <v>110</v>
      </c>
      <c r="AV10" s="9" t="s">
        <v>110</v>
      </c>
      <c r="AW10" s="9"/>
      <c r="AX10" s="9"/>
      <c r="AY10" s="9"/>
      <c r="AZ10" s="9" t="s">
        <v>110</v>
      </c>
      <c r="BB10" s="6" t="s">
        <v>110</v>
      </c>
      <c r="BC10" s="6" t="s">
        <v>110</v>
      </c>
      <c r="BD10" s="6"/>
      <c r="BE10" s="6" t="s">
        <v>110</v>
      </c>
      <c r="BF10" s="6"/>
      <c r="BG10" s="6" t="s">
        <v>110</v>
      </c>
      <c r="BI10" s="3"/>
      <c r="BJ10" s="3" t="s">
        <v>110</v>
      </c>
      <c r="BK10" s="3"/>
      <c r="BL10" s="3" t="s">
        <v>110</v>
      </c>
      <c r="BM10" s="3"/>
      <c r="BN10" s="3" t="s">
        <v>110</v>
      </c>
    </row>
    <row r="11" spans="1:66" x14ac:dyDescent="0.25">
      <c r="A11" t="s">
        <v>9</v>
      </c>
      <c r="B11">
        <v>30</v>
      </c>
      <c r="C11">
        <v>5</v>
      </c>
      <c r="D11">
        <v>10</v>
      </c>
      <c r="E11">
        <v>0</v>
      </c>
      <c r="F11">
        <v>0</v>
      </c>
      <c r="G11">
        <v>0</v>
      </c>
      <c r="H11">
        <v>16</v>
      </c>
      <c r="I11">
        <v>0</v>
      </c>
      <c r="J11">
        <v>2</v>
      </c>
      <c r="M11">
        <f t="shared" ref="M11:M12" si="2">$M$2 + H11</f>
        <v>68</v>
      </c>
      <c r="N11">
        <f t="shared" ref="N11:N12" si="3">$N$2 + I11</f>
        <v>38</v>
      </c>
      <c r="O11">
        <f t="shared" ref="O11:O12" si="4">$O$2 + H11</f>
        <v>113</v>
      </c>
      <c r="P11">
        <f t="shared" ref="P11:P12" si="5">$P$2 + I11</f>
        <v>68</v>
      </c>
      <c r="X11">
        <v>11</v>
      </c>
      <c r="Z11" s="17" t="s">
        <v>110</v>
      </c>
      <c r="AA11" s="17" t="s">
        <v>110</v>
      </c>
      <c r="AB11" s="17" t="s">
        <v>110</v>
      </c>
      <c r="AC11" s="17"/>
      <c r="AD11" s="17" t="s">
        <v>110</v>
      </c>
      <c r="AE11" s="17"/>
      <c r="AG11" s="15" t="s">
        <v>110</v>
      </c>
      <c r="AH11" s="15"/>
      <c r="AI11" s="15"/>
      <c r="AJ11" s="15"/>
      <c r="AK11" s="15"/>
      <c r="AL11" s="15" t="s">
        <v>110</v>
      </c>
      <c r="AN11" s="12"/>
      <c r="AO11" s="12" t="s">
        <v>110</v>
      </c>
      <c r="AP11" s="12"/>
      <c r="AQ11" s="12" t="s">
        <v>110</v>
      </c>
      <c r="AR11" s="12" t="s">
        <v>110</v>
      </c>
      <c r="AS11" s="12" t="s">
        <v>110</v>
      </c>
      <c r="AU11" s="9"/>
      <c r="AV11" s="9"/>
      <c r="AW11" s="9"/>
      <c r="AX11" s="9" t="s">
        <v>110</v>
      </c>
      <c r="AY11" s="9" t="s">
        <v>110</v>
      </c>
      <c r="AZ11" s="9"/>
      <c r="BB11" s="6"/>
      <c r="BC11" s="6"/>
      <c r="BD11" s="6" t="s">
        <v>110</v>
      </c>
      <c r="BE11" s="6" t="s">
        <v>110</v>
      </c>
      <c r="BF11" s="6" t="s">
        <v>110</v>
      </c>
      <c r="BG11" s="6"/>
      <c r="BI11" s="3" t="s">
        <v>110</v>
      </c>
      <c r="BJ11" s="3"/>
      <c r="BK11" s="3"/>
      <c r="BL11" s="3" t="s">
        <v>110</v>
      </c>
      <c r="BM11" s="3"/>
      <c r="BN11" s="3"/>
    </row>
    <row r="12" spans="1:66" x14ac:dyDescent="0.25">
      <c r="A12" t="s">
        <v>10</v>
      </c>
      <c r="B12">
        <v>10</v>
      </c>
      <c r="C12">
        <v>10</v>
      </c>
      <c r="D12">
        <v>15</v>
      </c>
      <c r="E12">
        <v>0</v>
      </c>
      <c r="F12">
        <v>0</v>
      </c>
      <c r="G12">
        <v>0</v>
      </c>
      <c r="H12">
        <v>32</v>
      </c>
      <c r="I12">
        <v>0</v>
      </c>
      <c r="J12">
        <v>0</v>
      </c>
      <c r="M12">
        <f t="shared" si="2"/>
        <v>84</v>
      </c>
      <c r="N12">
        <f t="shared" si="3"/>
        <v>38</v>
      </c>
      <c r="O12">
        <f t="shared" si="4"/>
        <v>129</v>
      </c>
      <c r="P12">
        <f t="shared" si="5"/>
        <v>68</v>
      </c>
      <c r="X12">
        <v>12</v>
      </c>
      <c r="Z12" s="17"/>
      <c r="AA12" s="17" t="s">
        <v>110</v>
      </c>
      <c r="AB12" s="17" t="s">
        <v>110</v>
      </c>
      <c r="AC12" s="17"/>
      <c r="AD12" s="17" t="s">
        <v>110</v>
      </c>
      <c r="AE12" s="17" t="s">
        <v>110</v>
      </c>
      <c r="AG12" s="15"/>
      <c r="AH12" s="15" t="s">
        <v>110</v>
      </c>
      <c r="AI12" s="15" t="s">
        <v>110</v>
      </c>
      <c r="AJ12" s="15"/>
      <c r="AK12" s="15" t="s">
        <v>110</v>
      </c>
      <c r="AL12" s="15" t="s">
        <v>110</v>
      </c>
      <c r="AN12" s="12"/>
      <c r="AO12" s="12"/>
      <c r="AP12" s="12" t="s">
        <v>110</v>
      </c>
      <c r="AQ12" s="12"/>
      <c r="AR12" s="12" t="s">
        <v>110</v>
      </c>
      <c r="AS12" s="12" t="s">
        <v>110</v>
      </c>
      <c r="AU12" s="9" t="s">
        <v>110</v>
      </c>
      <c r="AV12" s="9" t="s">
        <v>110</v>
      </c>
      <c r="AW12" s="9" t="s">
        <v>110</v>
      </c>
      <c r="AX12" s="9"/>
      <c r="AY12" s="9"/>
      <c r="AZ12" s="9" t="s">
        <v>110</v>
      </c>
      <c r="BB12" s="6" t="s">
        <v>110</v>
      </c>
      <c r="BC12" s="6"/>
      <c r="BD12" s="6"/>
      <c r="BE12" s="6" t="s">
        <v>110</v>
      </c>
      <c r="BF12" s="6"/>
      <c r="BG12" s="6" t="s">
        <v>110</v>
      </c>
      <c r="BI12" s="3"/>
      <c r="BJ12" s="3"/>
      <c r="BK12" s="3" t="s">
        <v>110</v>
      </c>
      <c r="BL12" s="3" t="s">
        <v>110</v>
      </c>
      <c r="BM12" s="3" t="s">
        <v>110</v>
      </c>
      <c r="BN12" s="3"/>
    </row>
    <row r="13" spans="1:66" x14ac:dyDescent="0.25">
      <c r="X13">
        <v>13</v>
      </c>
      <c r="Z13" s="17" t="s">
        <v>110</v>
      </c>
      <c r="AA13" s="17" t="s">
        <v>110</v>
      </c>
      <c r="AB13" s="17" t="s">
        <v>110</v>
      </c>
      <c r="AC13" s="17" t="s">
        <v>110</v>
      </c>
      <c r="AD13" s="17"/>
      <c r="AE13" s="17" t="s">
        <v>110</v>
      </c>
      <c r="AG13" s="15" t="s">
        <v>110</v>
      </c>
      <c r="AH13" s="15" t="s">
        <v>110</v>
      </c>
      <c r="AI13" s="15"/>
      <c r="AJ13" s="15" t="s">
        <v>110</v>
      </c>
      <c r="AK13" s="15"/>
      <c r="AL13" s="15" t="s">
        <v>110</v>
      </c>
      <c r="AN13" s="12" t="s">
        <v>110</v>
      </c>
      <c r="AO13" s="12" t="s">
        <v>110</v>
      </c>
      <c r="AP13" s="12"/>
      <c r="AQ13" s="12" t="s">
        <v>110</v>
      </c>
      <c r="AR13" s="12" t="s">
        <v>110</v>
      </c>
      <c r="AS13" s="12"/>
      <c r="AU13" s="9"/>
      <c r="AV13" s="9"/>
      <c r="AW13" s="9"/>
      <c r="AX13" s="9" t="s">
        <v>110</v>
      </c>
      <c r="AY13" s="9" t="s">
        <v>110</v>
      </c>
      <c r="AZ13" s="9" t="s">
        <v>110</v>
      </c>
      <c r="BB13" s="6"/>
      <c r="BC13" s="6" t="s">
        <v>110</v>
      </c>
      <c r="BD13" s="6"/>
      <c r="BE13" s="6" t="s">
        <v>110</v>
      </c>
      <c r="BF13" s="6" t="s">
        <v>110</v>
      </c>
      <c r="BG13" s="6"/>
      <c r="BI13" s="3"/>
      <c r="BJ13" s="3" t="s">
        <v>110</v>
      </c>
      <c r="BK13" s="3"/>
      <c r="BL13" s="3" t="s">
        <v>110</v>
      </c>
      <c r="BM13" s="3"/>
      <c r="BN13" s="3"/>
    </row>
    <row r="14" spans="1:66" x14ac:dyDescent="0.25">
      <c r="A14" t="s">
        <v>12</v>
      </c>
      <c r="B14">
        <v>30</v>
      </c>
      <c r="C14">
        <v>0</v>
      </c>
      <c r="D14">
        <v>0</v>
      </c>
      <c r="E14">
        <v>20</v>
      </c>
      <c r="F14">
        <v>0</v>
      </c>
      <c r="G14">
        <v>0</v>
      </c>
      <c r="H14">
        <v>0</v>
      </c>
      <c r="I14">
        <v>0</v>
      </c>
      <c r="J14">
        <v>0</v>
      </c>
      <c r="M14">
        <f>$M$3 + H14</f>
        <v>57</v>
      </c>
      <c r="N14">
        <f>$N$3 + I14</f>
        <v>43</v>
      </c>
      <c r="O14">
        <f>$O$3 + H14</f>
        <v>102</v>
      </c>
      <c r="P14">
        <f>$P$3 + I14</f>
        <v>73</v>
      </c>
      <c r="X14">
        <v>14</v>
      </c>
      <c r="Z14" s="17" t="s">
        <v>110</v>
      </c>
      <c r="AA14" s="17" t="s">
        <v>110</v>
      </c>
      <c r="AB14" s="17" t="s">
        <v>110</v>
      </c>
      <c r="AC14" s="17"/>
      <c r="AD14" s="17" t="s">
        <v>110</v>
      </c>
      <c r="AE14" s="17"/>
      <c r="AG14" s="15"/>
      <c r="AH14" s="15"/>
      <c r="AI14" s="15" t="s">
        <v>110</v>
      </c>
      <c r="AJ14" s="15"/>
      <c r="AK14" s="15"/>
      <c r="AL14" s="15" t="s">
        <v>110</v>
      </c>
      <c r="AN14" s="12"/>
      <c r="AO14" s="12"/>
      <c r="AP14" s="12" t="s">
        <v>110</v>
      </c>
      <c r="AQ14" s="12"/>
      <c r="AR14" s="12" t="s">
        <v>110</v>
      </c>
      <c r="AS14" s="12" t="s">
        <v>110</v>
      </c>
      <c r="AU14" s="9" t="s">
        <v>110</v>
      </c>
      <c r="AV14" s="9" t="s">
        <v>110</v>
      </c>
      <c r="AW14" s="9"/>
      <c r="AX14" s="9"/>
      <c r="AY14" s="9"/>
      <c r="AZ14" s="9"/>
      <c r="BB14" s="6" t="s">
        <v>110</v>
      </c>
      <c r="BC14" s="6"/>
      <c r="BD14" s="6" t="s">
        <v>110</v>
      </c>
      <c r="BE14" s="6" t="s">
        <v>110</v>
      </c>
      <c r="BF14" s="6"/>
      <c r="BG14" s="6" t="s">
        <v>110</v>
      </c>
      <c r="BI14" s="3" t="s">
        <v>110</v>
      </c>
      <c r="BJ14" s="3"/>
      <c r="BK14" s="3"/>
      <c r="BL14" s="3" t="s">
        <v>110</v>
      </c>
      <c r="BM14" s="3"/>
      <c r="BN14" s="3" t="s">
        <v>110</v>
      </c>
    </row>
    <row r="15" spans="1:66" x14ac:dyDescent="0.25">
      <c r="A15" t="s">
        <v>13</v>
      </c>
      <c r="B15">
        <v>10</v>
      </c>
      <c r="C15">
        <v>0</v>
      </c>
      <c r="D15">
        <v>0</v>
      </c>
      <c r="E15">
        <v>10</v>
      </c>
      <c r="F15">
        <v>0</v>
      </c>
      <c r="G15">
        <v>10</v>
      </c>
      <c r="H15">
        <v>16</v>
      </c>
      <c r="I15">
        <v>40</v>
      </c>
      <c r="J15">
        <v>0</v>
      </c>
      <c r="M15">
        <f t="shared" ref="M15:M16" si="6">$M$3 + H15</f>
        <v>73</v>
      </c>
      <c r="N15">
        <f t="shared" ref="N15:N16" si="7">$N$3 + I15</f>
        <v>83</v>
      </c>
      <c r="O15">
        <f t="shared" ref="O15:O16" si="8">$O$3 + H15</f>
        <v>118</v>
      </c>
      <c r="P15">
        <f t="shared" ref="P15:P16" si="9">$P$3 + I15</f>
        <v>113</v>
      </c>
      <c r="X15">
        <v>15</v>
      </c>
      <c r="Z15" s="17"/>
      <c r="AA15" s="17" t="s">
        <v>110</v>
      </c>
      <c r="AB15" s="17" t="s">
        <v>110</v>
      </c>
      <c r="AC15" s="17"/>
      <c r="AD15" s="17" t="s">
        <v>110</v>
      </c>
      <c r="AE15" s="17" t="s">
        <v>110</v>
      </c>
      <c r="AG15" s="15" t="s">
        <v>110</v>
      </c>
      <c r="AH15" s="15" t="s">
        <v>110</v>
      </c>
      <c r="AI15" s="15"/>
      <c r="AJ15" s="15"/>
      <c r="AK15" s="15" t="s">
        <v>110</v>
      </c>
      <c r="AL15" s="15" t="s">
        <v>110</v>
      </c>
      <c r="AN15" s="12"/>
      <c r="AO15" s="12" t="s">
        <v>110</v>
      </c>
      <c r="AP15" s="12"/>
      <c r="AQ15" s="12" t="s">
        <v>110</v>
      </c>
      <c r="AR15" s="12" t="s">
        <v>110</v>
      </c>
      <c r="AS15" s="12" t="s">
        <v>110</v>
      </c>
      <c r="AU15" s="9"/>
      <c r="AV15" s="9"/>
      <c r="AW15" s="9" t="s">
        <v>110</v>
      </c>
      <c r="AX15" s="9" t="s">
        <v>110</v>
      </c>
      <c r="AY15" s="9" t="s">
        <v>110</v>
      </c>
      <c r="AZ15" s="9" t="s">
        <v>110</v>
      </c>
      <c r="BB15" s="6"/>
      <c r="BC15" s="6"/>
      <c r="BD15" s="6"/>
      <c r="BE15" s="6" t="s">
        <v>110</v>
      </c>
      <c r="BF15" s="6" t="s">
        <v>110</v>
      </c>
      <c r="BG15" s="6"/>
      <c r="BI15" s="3"/>
      <c r="BJ15" s="3"/>
      <c r="BK15" s="3" t="s">
        <v>110</v>
      </c>
      <c r="BL15" s="3" t="s">
        <v>110</v>
      </c>
      <c r="BM15" s="3"/>
      <c r="BN15" s="3"/>
    </row>
    <row r="16" spans="1:66" x14ac:dyDescent="0.25">
      <c r="A16" t="s">
        <v>14</v>
      </c>
      <c r="B16">
        <v>10</v>
      </c>
      <c r="C16">
        <v>0</v>
      </c>
      <c r="D16">
        <v>0</v>
      </c>
      <c r="E16">
        <v>0</v>
      </c>
      <c r="F16">
        <v>0</v>
      </c>
      <c r="G16">
        <v>20</v>
      </c>
      <c r="H16">
        <v>32</v>
      </c>
      <c r="I16">
        <v>0</v>
      </c>
      <c r="J16">
        <v>0</v>
      </c>
      <c r="M16">
        <f t="shared" si="6"/>
        <v>89</v>
      </c>
      <c r="N16">
        <f t="shared" si="7"/>
        <v>43</v>
      </c>
      <c r="O16">
        <f t="shared" si="8"/>
        <v>134</v>
      </c>
      <c r="P16">
        <f t="shared" si="9"/>
        <v>73</v>
      </c>
      <c r="X16">
        <v>16</v>
      </c>
      <c r="Z16" s="17" t="s">
        <v>110</v>
      </c>
      <c r="AA16" s="17" t="s">
        <v>110</v>
      </c>
      <c r="AB16" s="17" t="s">
        <v>110</v>
      </c>
      <c r="AC16" s="17" t="s">
        <v>110</v>
      </c>
      <c r="AD16" s="17"/>
      <c r="AE16" s="17" t="s">
        <v>110</v>
      </c>
      <c r="AG16" s="15"/>
      <c r="AH16" s="15" t="s">
        <v>110</v>
      </c>
      <c r="AI16" s="15" t="s">
        <v>110</v>
      </c>
      <c r="AJ16" s="15" t="s">
        <v>110</v>
      </c>
      <c r="AK16" s="15"/>
      <c r="AL16" s="15" t="s">
        <v>110</v>
      </c>
      <c r="AN16" s="12" t="s">
        <v>110</v>
      </c>
      <c r="AO16" s="12"/>
      <c r="AP16" s="12" t="s">
        <v>110</v>
      </c>
      <c r="AQ16" s="12"/>
      <c r="AR16" s="12" t="s">
        <v>110</v>
      </c>
      <c r="AS16" s="12"/>
      <c r="AU16" s="9" t="s">
        <v>110</v>
      </c>
      <c r="AV16" s="9" t="s">
        <v>110</v>
      </c>
      <c r="AW16" s="9"/>
      <c r="AX16" s="9"/>
      <c r="AY16" s="9"/>
      <c r="AZ16" s="9" t="s">
        <v>110</v>
      </c>
      <c r="BB16" s="6"/>
      <c r="BC16" s="6" t="s">
        <v>110</v>
      </c>
      <c r="BD16" s="6"/>
      <c r="BE16" s="6" t="s">
        <v>110</v>
      </c>
      <c r="BF16" s="6"/>
      <c r="BG16" s="6" t="s">
        <v>110</v>
      </c>
      <c r="BI16" s="3"/>
      <c r="BJ16" s="3" t="s">
        <v>110</v>
      </c>
      <c r="BK16" s="3"/>
      <c r="BL16" s="3" t="s">
        <v>110</v>
      </c>
      <c r="BM16" s="3" t="s">
        <v>110</v>
      </c>
      <c r="BN16" s="3"/>
    </row>
    <row r="17" spans="1:66" x14ac:dyDescent="0.25">
      <c r="X17">
        <v>17</v>
      </c>
      <c r="Z17" s="17" t="s">
        <v>110</v>
      </c>
      <c r="AA17" s="17" t="s">
        <v>110</v>
      </c>
      <c r="AB17" s="17" t="s">
        <v>110</v>
      </c>
      <c r="AC17" s="17"/>
      <c r="AD17" s="17" t="s">
        <v>110</v>
      </c>
      <c r="AE17" s="17"/>
      <c r="AG17" s="15"/>
      <c r="AH17" s="15"/>
      <c r="AI17" s="15" t="s">
        <v>110</v>
      </c>
      <c r="AJ17" s="15"/>
      <c r="AK17" s="15"/>
      <c r="AL17" s="15" t="s">
        <v>110</v>
      </c>
      <c r="AN17" s="12" t="s">
        <v>110</v>
      </c>
      <c r="AO17" s="12" t="s">
        <v>110</v>
      </c>
      <c r="AP17" s="12"/>
      <c r="AQ17" s="12" t="s">
        <v>110</v>
      </c>
      <c r="AR17" s="12" t="s">
        <v>110</v>
      </c>
      <c r="AS17" s="12" t="s">
        <v>110</v>
      </c>
      <c r="AU17" s="9" t="s">
        <v>110</v>
      </c>
      <c r="AV17" s="9"/>
      <c r="AW17" s="9"/>
      <c r="AX17" s="9" t="s">
        <v>110</v>
      </c>
      <c r="AY17" s="9" t="s">
        <v>110</v>
      </c>
      <c r="AZ17" s="9"/>
      <c r="BB17" s="6" t="s">
        <v>110</v>
      </c>
      <c r="BC17" s="6"/>
      <c r="BD17" s="6" t="s">
        <v>110</v>
      </c>
      <c r="BE17" s="6" t="s">
        <v>110</v>
      </c>
      <c r="BF17" s="6" t="s">
        <v>110</v>
      </c>
      <c r="BG17" s="6"/>
      <c r="BI17" s="3"/>
      <c r="BJ17" s="3"/>
      <c r="BK17" s="3"/>
      <c r="BL17" s="3" t="s">
        <v>110</v>
      </c>
      <c r="BM17" s="3"/>
      <c r="BN17" s="3"/>
    </row>
    <row r="18" spans="1:66" x14ac:dyDescent="0.25">
      <c r="A18" t="s">
        <v>16</v>
      </c>
      <c r="B18">
        <v>50</v>
      </c>
      <c r="C18">
        <v>10</v>
      </c>
      <c r="D18">
        <v>10</v>
      </c>
      <c r="E18">
        <v>0</v>
      </c>
      <c r="F18">
        <v>0</v>
      </c>
      <c r="G18">
        <v>10</v>
      </c>
      <c r="H18">
        <v>32</v>
      </c>
      <c r="I18">
        <v>0</v>
      </c>
      <c r="J18">
        <v>2</v>
      </c>
      <c r="M18">
        <f>$M$4 + H18</f>
        <v>79</v>
      </c>
      <c r="N18">
        <f>$N$4 + I18</f>
        <v>19</v>
      </c>
      <c r="O18">
        <f>$O$4 + H18</f>
        <v>124</v>
      </c>
      <c r="P18">
        <f>$P$4 + I18</f>
        <v>34</v>
      </c>
      <c r="X18">
        <v>18</v>
      </c>
      <c r="Z18" s="17"/>
      <c r="AA18" s="17" t="s">
        <v>110</v>
      </c>
      <c r="AB18" s="17" t="s">
        <v>110</v>
      </c>
      <c r="AC18" s="17"/>
      <c r="AD18" s="17" t="s">
        <v>110</v>
      </c>
      <c r="AE18" s="17" t="s">
        <v>110</v>
      </c>
      <c r="AG18" s="15" t="s">
        <v>110</v>
      </c>
      <c r="AH18" s="15" t="s">
        <v>110</v>
      </c>
      <c r="AI18" s="15"/>
      <c r="AJ18" s="15"/>
      <c r="AK18" s="15" t="s">
        <v>110</v>
      </c>
      <c r="AL18" s="15" t="s">
        <v>110</v>
      </c>
      <c r="AN18" s="12"/>
      <c r="AO18" s="12"/>
      <c r="AP18" s="12" t="s">
        <v>110</v>
      </c>
      <c r="AQ18" s="12"/>
      <c r="AR18" s="12" t="s">
        <v>110</v>
      </c>
      <c r="AS18" s="12" t="s">
        <v>110</v>
      </c>
      <c r="AU18" s="9"/>
      <c r="AV18" s="9" t="s">
        <v>110</v>
      </c>
      <c r="AW18" s="9" t="s">
        <v>110</v>
      </c>
      <c r="AX18" s="9"/>
      <c r="AY18" s="9"/>
      <c r="AZ18" s="9"/>
      <c r="BB18" s="6"/>
      <c r="BC18" s="6"/>
      <c r="BD18" s="6"/>
      <c r="BE18" s="6" t="s">
        <v>110</v>
      </c>
      <c r="BF18" s="6"/>
      <c r="BG18" s="6" t="s">
        <v>110</v>
      </c>
      <c r="BI18" s="3" t="s">
        <v>110</v>
      </c>
      <c r="BJ18" s="3"/>
      <c r="BK18" s="3" t="s">
        <v>110</v>
      </c>
      <c r="BL18" s="3" t="s">
        <v>110</v>
      </c>
      <c r="BM18" s="3"/>
      <c r="BN18" s="3" t="s">
        <v>110</v>
      </c>
    </row>
    <row r="19" spans="1:66" x14ac:dyDescent="0.25">
      <c r="A19" t="s">
        <v>20</v>
      </c>
      <c r="B19">
        <v>30</v>
      </c>
      <c r="C19">
        <v>0</v>
      </c>
      <c r="D19">
        <v>0</v>
      </c>
      <c r="E19">
        <v>10</v>
      </c>
      <c r="F19">
        <v>0</v>
      </c>
      <c r="G19">
        <v>0</v>
      </c>
      <c r="H19">
        <v>16</v>
      </c>
      <c r="I19">
        <v>0</v>
      </c>
      <c r="J19">
        <v>0</v>
      </c>
      <c r="M19">
        <f t="shared" ref="M19:M20" si="10">$M$4 + H19</f>
        <v>63</v>
      </c>
      <c r="N19">
        <f t="shared" ref="N19:N20" si="11">$N$4 + I19</f>
        <v>19</v>
      </c>
      <c r="O19">
        <f t="shared" ref="O19:O20" si="12">$O$4 + H19</f>
        <v>108</v>
      </c>
      <c r="P19">
        <f t="shared" ref="P19:P20" si="13">$P$4 + I19</f>
        <v>34</v>
      </c>
      <c r="X19">
        <v>19</v>
      </c>
      <c r="Z19" s="17" t="s">
        <v>110</v>
      </c>
      <c r="AA19" s="17" t="s">
        <v>110</v>
      </c>
      <c r="AB19" s="17" t="s">
        <v>110</v>
      </c>
      <c r="AC19" s="17" t="s">
        <v>110</v>
      </c>
      <c r="AD19" s="17"/>
      <c r="AE19" s="17" t="s">
        <v>110</v>
      </c>
      <c r="AG19" s="15"/>
      <c r="AH19" s="15" t="s">
        <v>110</v>
      </c>
      <c r="AI19" s="15" t="s">
        <v>110</v>
      </c>
      <c r="AJ19" s="15" t="s">
        <v>110</v>
      </c>
      <c r="AK19" s="15"/>
      <c r="AL19" s="15" t="s">
        <v>110</v>
      </c>
      <c r="AN19" s="12" t="s">
        <v>110</v>
      </c>
      <c r="AO19" s="12" t="s">
        <v>110</v>
      </c>
      <c r="AP19" s="12"/>
      <c r="AQ19" s="12" t="s">
        <v>110</v>
      </c>
      <c r="AR19" s="12" t="s">
        <v>110</v>
      </c>
      <c r="AS19" s="12"/>
      <c r="AU19" s="9"/>
      <c r="AV19" s="9"/>
      <c r="AW19" s="9"/>
      <c r="AX19" s="9" t="s">
        <v>110</v>
      </c>
      <c r="AY19" s="9" t="s">
        <v>110</v>
      </c>
      <c r="AZ19" s="9" t="s">
        <v>110</v>
      </c>
      <c r="BB19" s="6"/>
      <c r="BC19" s="6" t="s">
        <v>110</v>
      </c>
      <c r="BD19" s="6"/>
      <c r="BE19" s="6" t="s">
        <v>110</v>
      </c>
      <c r="BF19" s="6" t="s">
        <v>110</v>
      </c>
      <c r="BG19" s="6"/>
      <c r="BI19" s="3"/>
      <c r="BJ19" s="3" t="s">
        <v>110</v>
      </c>
      <c r="BK19" s="3"/>
      <c r="BL19" s="3" t="s">
        <v>110</v>
      </c>
      <c r="BM19" s="3"/>
      <c r="BN19" s="3"/>
    </row>
    <row r="20" spans="1:66" x14ac:dyDescent="0.25">
      <c r="A20" t="s">
        <v>21</v>
      </c>
      <c r="B20">
        <v>30</v>
      </c>
      <c r="C20">
        <v>0</v>
      </c>
      <c r="D20">
        <v>0</v>
      </c>
      <c r="E20">
        <v>20</v>
      </c>
      <c r="F20">
        <v>0</v>
      </c>
      <c r="G20">
        <v>0</v>
      </c>
      <c r="H20">
        <v>16</v>
      </c>
      <c r="I20">
        <v>80</v>
      </c>
      <c r="J20">
        <v>0</v>
      </c>
      <c r="M20">
        <f t="shared" si="10"/>
        <v>63</v>
      </c>
      <c r="N20">
        <f t="shared" si="11"/>
        <v>99</v>
      </c>
      <c r="O20">
        <f t="shared" si="12"/>
        <v>108</v>
      </c>
      <c r="P20">
        <f t="shared" si="13"/>
        <v>114</v>
      </c>
      <c r="X20">
        <v>20</v>
      </c>
      <c r="Z20" s="17" t="s">
        <v>110</v>
      </c>
      <c r="AA20" s="17" t="s">
        <v>110</v>
      </c>
      <c r="AB20" s="17" t="s">
        <v>110</v>
      </c>
      <c r="AC20" s="17"/>
      <c r="AD20" s="17" t="s">
        <v>110</v>
      </c>
      <c r="AE20" s="17"/>
      <c r="AG20" s="15"/>
      <c r="AH20" s="15"/>
      <c r="AI20" s="15" t="s">
        <v>110</v>
      </c>
      <c r="AJ20" s="15"/>
      <c r="AK20" s="15"/>
      <c r="AL20" s="15" t="s">
        <v>110</v>
      </c>
      <c r="AN20" s="12"/>
      <c r="AO20" s="12"/>
      <c r="AP20" s="12" t="s">
        <v>110</v>
      </c>
      <c r="AQ20" s="12"/>
      <c r="AR20" s="12" t="s">
        <v>110</v>
      </c>
      <c r="AS20" s="12" t="s">
        <v>110</v>
      </c>
      <c r="AU20" s="9"/>
      <c r="AV20" s="9" t="s">
        <v>110</v>
      </c>
      <c r="AW20" s="9"/>
      <c r="AX20" s="9"/>
      <c r="AY20" s="9"/>
      <c r="AZ20" s="9" t="s">
        <v>110</v>
      </c>
      <c r="BB20" s="6" t="s">
        <v>110</v>
      </c>
      <c r="BC20" s="6"/>
      <c r="BD20" s="6" t="s">
        <v>110</v>
      </c>
      <c r="BE20" s="6" t="s">
        <v>110</v>
      </c>
      <c r="BF20" s="6"/>
      <c r="BG20" s="6" t="s">
        <v>110</v>
      </c>
      <c r="BI20" s="3"/>
      <c r="BJ20" s="3"/>
      <c r="BK20" s="3"/>
      <c r="BL20" s="3" t="s">
        <v>110</v>
      </c>
      <c r="BM20" s="3" t="s">
        <v>110</v>
      </c>
      <c r="BN20" s="3"/>
    </row>
    <row r="21" spans="1:66" x14ac:dyDescent="0.25">
      <c r="X21">
        <v>21</v>
      </c>
      <c r="Z21" s="17"/>
      <c r="AA21" s="17" t="s">
        <v>110</v>
      </c>
      <c r="AB21" s="17"/>
      <c r="AC21" s="17"/>
      <c r="AD21" s="17" t="s">
        <v>110</v>
      </c>
      <c r="AE21" s="17" t="s">
        <v>110</v>
      </c>
      <c r="AG21" s="15" t="s">
        <v>110</v>
      </c>
      <c r="AH21" s="15" t="s">
        <v>110</v>
      </c>
      <c r="AI21" s="15"/>
      <c r="AJ21" s="15"/>
      <c r="AK21" s="15" t="s">
        <v>110</v>
      </c>
      <c r="AL21" s="15" t="s">
        <v>110</v>
      </c>
      <c r="AN21" s="12"/>
      <c r="AO21" s="12" t="s">
        <v>110</v>
      </c>
      <c r="AP21" s="12"/>
      <c r="AQ21" s="12" t="s">
        <v>110</v>
      </c>
      <c r="AR21" s="12" t="s">
        <v>110</v>
      </c>
      <c r="AS21" s="12" t="s">
        <v>110</v>
      </c>
      <c r="AU21" s="9"/>
      <c r="AV21" s="9"/>
      <c r="AW21" s="9" t="s">
        <v>110</v>
      </c>
      <c r="AX21" s="9" t="s">
        <v>110</v>
      </c>
      <c r="AY21" s="9" t="s">
        <v>110</v>
      </c>
      <c r="AZ21" s="9"/>
      <c r="BB21" s="6"/>
      <c r="BC21" s="6"/>
      <c r="BD21" s="6"/>
      <c r="BE21" s="6" t="s">
        <v>110</v>
      </c>
      <c r="BF21" s="6" t="s">
        <v>110</v>
      </c>
      <c r="BG21" s="6"/>
      <c r="BI21" s="3"/>
      <c r="BJ21" s="3"/>
      <c r="BK21" s="3" t="s">
        <v>110</v>
      </c>
      <c r="BL21" s="3" t="s">
        <v>110</v>
      </c>
      <c r="BM21" s="3"/>
      <c r="BN21" s="3"/>
    </row>
    <row r="22" spans="1:66" x14ac:dyDescent="0.25">
      <c r="A22" t="s">
        <v>23</v>
      </c>
      <c r="B22">
        <v>30</v>
      </c>
      <c r="C22">
        <v>10</v>
      </c>
      <c r="D22">
        <v>0</v>
      </c>
      <c r="E22">
        <v>5</v>
      </c>
      <c r="F22">
        <v>0</v>
      </c>
      <c r="G22">
        <v>0</v>
      </c>
      <c r="H22">
        <v>16</v>
      </c>
      <c r="I22">
        <v>0</v>
      </c>
      <c r="J22">
        <v>0</v>
      </c>
      <c r="M22">
        <f>$M$5 + H22</f>
        <v>51</v>
      </c>
      <c r="N22">
        <f>$N$5 + I22</f>
        <v>62</v>
      </c>
      <c r="O22">
        <f>$O$5 + H22</f>
        <v>81</v>
      </c>
      <c r="P22">
        <f>$P$5 + I22</f>
        <v>107</v>
      </c>
      <c r="X22">
        <v>22</v>
      </c>
      <c r="Z22" s="17" t="s">
        <v>110</v>
      </c>
      <c r="AA22" s="17" t="s">
        <v>110</v>
      </c>
      <c r="AB22" s="17" t="s">
        <v>110</v>
      </c>
      <c r="AC22" s="17" t="s">
        <v>110</v>
      </c>
      <c r="AD22" s="17"/>
      <c r="AE22" s="17" t="s">
        <v>110</v>
      </c>
      <c r="AG22" s="15"/>
      <c r="AH22" s="15" t="s">
        <v>110</v>
      </c>
      <c r="AI22" s="15" t="s">
        <v>110</v>
      </c>
      <c r="AJ22" s="15" t="s">
        <v>110</v>
      </c>
      <c r="AK22" s="15"/>
      <c r="AL22" s="15" t="s">
        <v>110</v>
      </c>
      <c r="AN22" s="12" t="s">
        <v>110</v>
      </c>
      <c r="AO22" s="12"/>
      <c r="AP22" s="12" t="s">
        <v>110</v>
      </c>
      <c r="AQ22" s="12"/>
      <c r="AR22" s="12" t="s">
        <v>110</v>
      </c>
      <c r="AS22" s="12"/>
      <c r="AU22" s="9"/>
      <c r="AV22" s="9" t="s">
        <v>110</v>
      </c>
      <c r="AW22" s="9"/>
      <c r="AX22" s="9"/>
      <c r="AY22" s="9"/>
      <c r="AZ22" s="9"/>
      <c r="BB22" s="6"/>
      <c r="BC22" s="6" t="s">
        <v>110</v>
      </c>
      <c r="BD22" s="6"/>
      <c r="BE22" s="6" t="s">
        <v>110</v>
      </c>
      <c r="BF22" s="6"/>
      <c r="BG22" s="6"/>
      <c r="BI22" s="3" t="s">
        <v>110</v>
      </c>
      <c r="BJ22" s="3" t="s">
        <v>110</v>
      </c>
      <c r="BK22" s="3"/>
      <c r="BL22" s="3" t="s">
        <v>110</v>
      </c>
      <c r="BM22" s="3"/>
      <c r="BN22" s="3" t="s">
        <v>110</v>
      </c>
    </row>
    <row r="23" spans="1:66" x14ac:dyDescent="0.25">
      <c r="A23" t="s">
        <v>24</v>
      </c>
      <c r="B23">
        <v>30</v>
      </c>
      <c r="C23">
        <v>10</v>
      </c>
      <c r="D23">
        <v>0</v>
      </c>
      <c r="E23">
        <v>10</v>
      </c>
      <c r="F23">
        <v>0</v>
      </c>
      <c r="G23">
        <v>0</v>
      </c>
      <c r="H23">
        <v>32</v>
      </c>
      <c r="I23">
        <v>0</v>
      </c>
      <c r="J23">
        <v>0</v>
      </c>
      <c r="M23">
        <f t="shared" ref="M23:M24" si="14">$M$5 + H23</f>
        <v>67</v>
      </c>
      <c r="N23">
        <f t="shared" ref="N23:N24" si="15">$N$5 + I23</f>
        <v>62</v>
      </c>
      <c r="O23">
        <f t="shared" ref="O23:O24" si="16">$O$5 + H23</f>
        <v>97</v>
      </c>
      <c r="P23">
        <f t="shared" ref="P23:P24" si="17">$P$5 + I23</f>
        <v>107</v>
      </c>
      <c r="X23">
        <v>23</v>
      </c>
      <c r="Z23" s="17" t="s">
        <v>110</v>
      </c>
      <c r="AA23" s="17" t="s">
        <v>110</v>
      </c>
      <c r="AB23" s="17" t="s">
        <v>110</v>
      </c>
      <c r="AC23" s="17"/>
      <c r="AD23" s="17" t="s">
        <v>110</v>
      </c>
      <c r="AE23" s="17"/>
      <c r="AG23" s="15"/>
      <c r="AH23" s="15"/>
      <c r="AI23" s="15" t="s">
        <v>110</v>
      </c>
      <c r="AJ23" s="15"/>
      <c r="AK23" s="15"/>
      <c r="AL23" s="15" t="s">
        <v>110</v>
      </c>
      <c r="AN23" s="12"/>
      <c r="AO23" s="12" t="s">
        <v>110</v>
      </c>
      <c r="AP23" s="12"/>
      <c r="AQ23" s="12" t="s">
        <v>110</v>
      </c>
      <c r="AR23" s="12" t="s">
        <v>110</v>
      </c>
      <c r="AS23" s="12" t="s">
        <v>110</v>
      </c>
      <c r="AU23" s="9"/>
      <c r="AV23" s="9"/>
      <c r="AW23" s="9"/>
      <c r="AX23" s="9" t="s">
        <v>110</v>
      </c>
      <c r="AY23" s="9" t="s">
        <v>110</v>
      </c>
      <c r="AZ23" s="9" t="s">
        <v>110</v>
      </c>
      <c r="BB23" s="6"/>
      <c r="BC23" s="6"/>
      <c r="BD23" s="6" t="s">
        <v>110</v>
      </c>
      <c r="BE23" s="6" t="s">
        <v>110</v>
      </c>
      <c r="BF23" s="6"/>
      <c r="BG23" s="6" t="s">
        <v>110</v>
      </c>
      <c r="BI23" s="3"/>
      <c r="BJ23" s="3"/>
      <c r="BK23" s="3"/>
      <c r="BL23" s="3" t="s">
        <v>110</v>
      </c>
      <c r="BM23" s="3"/>
      <c r="BN23" s="3"/>
    </row>
    <row r="24" spans="1:66" x14ac:dyDescent="0.25">
      <c r="A24" t="s">
        <v>25</v>
      </c>
      <c r="B24">
        <v>10</v>
      </c>
      <c r="C24">
        <v>0</v>
      </c>
      <c r="D24">
        <v>0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  <c r="M24">
        <f t="shared" si="14"/>
        <v>35</v>
      </c>
      <c r="N24">
        <f t="shared" si="15"/>
        <v>62</v>
      </c>
      <c r="O24">
        <f t="shared" si="16"/>
        <v>65</v>
      </c>
      <c r="P24">
        <f t="shared" si="17"/>
        <v>107</v>
      </c>
      <c r="X24">
        <v>24</v>
      </c>
      <c r="Z24" s="17"/>
      <c r="AA24" s="17" t="s">
        <v>110</v>
      </c>
      <c r="AB24" s="17"/>
      <c r="AC24" s="17"/>
      <c r="AD24" s="17" t="s">
        <v>110</v>
      </c>
      <c r="AE24" s="17" t="s">
        <v>110</v>
      </c>
      <c r="AG24" s="15" t="s">
        <v>110</v>
      </c>
      <c r="AH24" s="15" t="s">
        <v>110</v>
      </c>
      <c r="AI24" s="15"/>
      <c r="AJ24" s="15"/>
      <c r="AK24" s="15" t="s">
        <v>110</v>
      </c>
      <c r="AL24" s="15" t="s">
        <v>110</v>
      </c>
      <c r="AN24" s="12"/>
      <c r="AO24" s="12"/>
      <c r="AP24" s="12" t="s">
        <v>110</v>
      </c>
      <c r="AQ24" s="12"/>
      <c r="AR24" s="12" t="s">
        <v>110</v>
      </c>
      <c r="AS24" s="12" t="s">
        <v>110</v>
      </c>
      <c r="AU24" s="9"/>
      <c r="AV24" s="9" t="s">
        <v>110</v>
      </c>
      <c r="AW24" s="9" t="s">
        <v>110</v>
      </c>
      <c r="AX24" s="9"/>
      <c r="AY24" s="9"/>
      <c r="AZ24" s="9" t="s">
        <v>110</v>
      </c>
      <c r="BB24" s="6" t="s">
        <v>110</v>
      </c>
      <c r="BC24" s="6"/>
      <c r="BD24" s="6"/>
      <c r="BE24" s="6" t="s">
        <v>110</v>
      </c>
      <c r="BF24" s="6" t="s">
        <v>110</v>
      </c>
      <c r="BG24" s="6"/>
      <c r="BI24" s="3"/>
      <c r="BJ24" s="3"/>
      <c r="BK24" s="3" t="s">
        <v>110</v>
      </c>
      <c r="BL24" s="3" t="s">
        <v>110</v>
      </c>
      <c r="BM24" s="3" t="s">
        <v>110</v>
      </c>
      <c r="BN24" s="3"/>
    </row>
    <row r="25" spans="1:66" x14ac:dyDescent="0.25">
      <c r="X25">
        <v>25</v>
      </c>
      <c r="Z25" s="17"/>
      <c r="AA25" s="17" t="s">
        <v>110</v>
      </c>
      <c r="AB25" s="17" t="s">
        <v>110</v>
      </c>
      <c r="AC25" s="17" t="s">
        <v>110</v>
      </c>
      <c r="AD25" s="17"/>
      <c r="AE25" s="17" t="s">
        <v>110</v>
      </c>
      <c r="AG25" s="15"/>
      <c r="AH25" s="15" t="s">
        <v>110</v>
      </c>
      <c r="AI25" s="15" t="s">
        <v>110</v>
      </c>
      <c r="AJ25" s="15" t="s">
        <v>110</v>
      </c>
      <c r="AK25" s="15"/>
      <c r="AL25" s="15" t="s">
        <v>110</v>
      </c>
      <c r="AN25" s="12" t="s">
        <v>110</v>
      </c>
      <c r="AO25" s="12" t="s">
        <v>110</v>
      </c>
      <c r="AP25" s="12"/>
      <c r="AQ25" s="12" t="s">
        <v>110</v>
      </c>
      <c r="AR25" s="12" t="s">
        <v>110</v>
      </c>
      <c r="AS25" s="12"/>
      <c r="AU25" s="9"/>
      <c r="AV25" s="9"/>
      <c r="AW25" s="9"/>
      <c r="AX25" s="9" t="s">
        <v>110</v>
      </c>
      <c r="AY25" s="9"/>
      <c r="AZ25" s="9"/>
      <c r="BB25" s="6"/>
      <c r="BC25" s="6" t="s">
        <v>110</v>
      </c>
      <c r="BD25" s="6"/>
      <c r="BE25" s="6" t="s">
        <v>110</v>
      </c>
      <c r="BF25" s="6"/>
      <c r="BG25" s="6"/>
      <c r="BI25" s="3"/>
      <c r="BJ25" s="3" t="s">
        <v>110</v>
      </c>
      <c r="BK25" s="3"/>
      <c r="BL25" s="3" t="s">
        <v>110</v>
      </c>
      <c r="BM25" s="3"/>
      <c r="BN25" s="3"/>
    </row>
    <row r="26" spans="1:66" x14ac:dyDescent="0.25">
      <c r="A26" t="s">
        <v>26</v>
      </c>
      <c r="B26">
        <v>10</v>
      </c>
      <c r="C26">
        <v>0</v>
      </c>
      <c r="D26">
        <v>0</v>
      </c>
      <c r="E26">
        <v>10</v>
      </c>
      <c r="F26">
        <v>0</v>
      </c>
      <c r="G26">
        <v>10</v>
      </c>
      <c r="H26">
        <v>0</v>
      </c>
      <c r="I26">
        <v>0</v>
      </c>
      <c r="J26">
        <v>0</v>
      </c>
      <c r="M26">
        <f>$M$6 + H26</f>
        <v>19</v>
      </c>
      <c r="N26">
        <f>$N$6 + I26</f>
        <v>76</v>
      </c>
      <c r="O26">
        <f>$O$6 + H26</f>
        <v>34</v>
      </c>
      <c r="P26">
        <f>$P$6 + I26</f>
        <v>136</v>
      </c>
      <c r="X26">
        <v>26</v>
      </c>
      <c r="Z26" s="17" t="s">
        <v>110</v>
      </c>
      <c r="AA26" s="17" t="s">
        <v>110</v>
      </c>
      <c r="AB26" s="17" t="s">
        <v>110</v>
      </c>
      <c r="AC26" s="17"/>
      <c r="AD26" s="17" t="s">
        <v>110</v>
      </c>
      <c r="AE26" s="17"/>
      <c r="AG26" s="15"/>
      <c r="AH26" s="15"/>
      <c r="AI26" s="15" t="s">
        <v>110</v>
      </c>
      <c r="AJ26" s="15"/>
      <c r="AK26" s="15"/>
      <c r="AL26" s="15" t="s">
        <v>110</v>
      </c>
      <c r="AN26" s="12"/>
      <c r="AO26" s="12"/>
      <c r="AP26" s="12" t="s">
        <v>110</v>
      </c>
      <c r="AQ26" s="12"/>
      <c r="AR26" s="12" t="s">
        <v>110</v>
      </c>
      <c r="AS26" s="12" t="s">
        <v>110</v>
      </c>
      <c r="AU26" s="9"/>
      <c r="AV26" s="9" t="s">
        <v>110</v>
      </c>
      <c r="AW26" s="9"/>
      <c r="AX26" s="9"/>
      <c r="AY26" s="9" t="s">
        <v>110</v>
      </c>
      <c r="AZ26" s="9"/>
      <c r="BB26" s="6"/>
      <c r="BC26" s="6"/>
      <c r="BD26" s="6" t="s">
        <v>110</v>
      </c>
      <c r="BE26" s="6" t="s">
        <v>110</v>
      </c>
      <c r="BF26" s="6"/>
      <c r="BG26" s="6" t="s">
        <v>110</v>
      </c>
      <c r="BI26" s="3" t="s">
        <v>110</v>
      </c>
      <c r="BJ26" s="3"/>
      <c r="BK26" s="3"/>
      <c r="BL26" s="3" t="s">
        <v>110</v>
      </c>
      <c r="BM26" s="3"/>
      <c r="BN26" s="3" t="s">
        <v>110</v>
      </c>
    </row>
    <row r="27" spans="1:66" x14ac:dyDescent="0.25">
      <c r="A27" t="s">
        <v>28</v>
      </c>
      <c r="B27">
        <v>50</v>
      </c>
      <c r="C27">
        <v>20</v>
      </c>
      <c r="D27">
        <v>0</v>
      </c>
      <c r="E27">
        <v>5</v>
      </c>
      <c r="F27">
        <v>0</v>
      </c>
      <c r="G27">
        <v>0</v>
      </c>
      <c r="H27">
        <v>16</v>
      </c>
      <c r="I27">
        <v>0</v>
      </c>
      <c r="J27">
        <v>8</v>
      </c>
      <c r="M27">
        <f t="shared" ref="M27:M28" si="18">$M$6 + H27</f>
        <v>35</v>
      </c>
      <c r="N27">
        <f t="shared" ref="N27:N28" si="19">$N$6 + I27</f>
        <v>76</v>
      </c>
      <c r="O27">
        <f t="shared" ref="O27:O28" si="20">$O$6 + H27</f>
        <v>50</v>
      </c>
      <c r="P27">
        <f t="shared" ref="P27:P28" si="21">$P$6 + I27</f>
        <v>136</v>
      </c>
      <c r="X27">
        <v>27</v>
      </c>
      <c r="Z27" s="17"/>
      <c r="AA27" s="17" t="s">
        <v>110</v>
      </c>
      <c r="AB27" s="17"/>
      <c r="AC27" s="17"/>
      <c r="AD27" s="17" t="s">
        <v>110</v>
      </c>
      <c r="AE27" s="17" t="s">
        <v>110</v>
      </c>
      <c r="AG27" s="15" t="s">
        <v>110</v>
      </c>
      <c r="AH27" s="15" t="s">
        <v>110</v>
      </c>
      <c r="AI27" s="15"/>
      <c r="AJ27" s="15"/>
      <c r="AK27" s="15" t="s">
        <v>110</v>
      </c>
      <c r="AL27" s="15" t="s">
        <v>110</v>
      </c>
      <c r="AN27" s="12"/>
      <c r="AO27" s="12" t="s">
        <v>110</v>
      </c>
      <c r="AP27" s="12"/>
      <c r="AQ27" s="12" t="s">
        <v>110</v>
      </c>
      <c r="AR27" s="12" t="s">
        <v>110</v>
      </c>
      <c r="AS27" s="12" t="s">
        <v>110</v>
      </c>
      <c r="AU27" s="9" t="s">
        <v>110</v>
      </c>
      <c r="AV27" s="9"/>
      <c r="AW27" s="9" t="s">
        <v>110</v>
      </c>
      <c r="AX27" s="9" t="s">
        <v>110</v>
      </c>
      <c r="AY27" s="9"/>
      <c r="AZ27" s="9" t="s">
        <v>110</v>
      </c>
      <c r="BB27" s="6"/>
      <c r="BC27" s="6"/>
      <c r="BD27" s="6"/>
      <c r="BE27" s="6" t="s">
        <v>110</v>
      </c>
      <c r="BF27" s="6" t="s">
        <v>110</v>
      </c>
      <c r="BG27" s="6"/>
      <c r="BI27" s="3"/>
      <c r="BJ27" s="3"/>
      <c r="BK27" s="3" t="s">
        <v>110</v>
      </c>
      <c r="BL27" s="3" t="s">
        <v>110</v>
      </c>
      <c r="BM27" s="3"/>
      <c r="BN27" s="3"/>
    </row>
    <row r="28" spans="1:66" x14ac:dyDescent="0.25">
      <c r="A28" t="s">
        <v>29</v>
      </c>
      <c r="B28">
        <v>10</v>
      </c>
      <c r="C28">
        <v>0</v>
      </c>
      <c r="D28">
        <v>0</v>
      </c>
      <c r="E28">
        <v>10</v>
      </c>
      <c r="F28">
        <v>0</v>
      </c>
      <c r="G28">
        <v>0</v>
      </c>
      <c r="H28">
        <v>0</v>
      </c>
      <c r="I28">
        <v>20</v>
      </c>
      <c r="J28">
        <v>0</v>
      </c>
      <c r="M28">
        <f t="shared" si="18"/>
        <v>19</v>
      </c>
      <c r="N28">
        <f t="shared" si="19"/>
        <v>96</v>
      </c>
      <c r="O28">
        <f t="shared" si="20"/>
        <v>34</v>
      </c>
      <c r="P28">
        <f t="shared" si="21"/>
        <v>156</v>
      </c>
      <c r="X28">
        <v>28</v>
      </c>
      <c r="Z28" s="17"/>
      <c r="AA28" s="17" t="s">
        <v>110</v>
      </c>
      <c r="AB28" s="17" t="s">
        <v>110</v>
      </c>
      <c r="AC28" s="17" t="s">
        <v>110</v>
      </c>
      <c r="AD28" s="17"/>
      <c r="AE28" s="17" t="s">
        <v>110</v>
      </c>
      <c r="AG28" s="15"/>
      <c r="AH28" s="15" t="s">
        <v>110</v>
      </c>
      <c r="AI28" s="15" t="s">
        <v>110</v>
      </c>
      <c r="AJ28" s="15" t="s">
        <v>110</v>
      </c>
      <c r="AK28" s="15"/>
      <c r="AL28" s="15" t="s">
        <v>110</v>
      </c>
      <c r="AN28" s="12" t="s">
        <v>110</v>
      </c>
      <c r="AO28" s="12"/>
      <c r="AP28" s="12" t="s">
        <v>110</v>
      </c>
      <c r="AQ28" s="12"/>
      <c r="AR28" s="12" t="s">
        <v>110</v>
      </c>
      <c r="AS28" s="12"/>
      <c r="AU28" s="9"/>
      <c r="AV28" s="9" t="s">
        <v>110</v>
      </c>
      <c r="AW28" s="9"/>
      <c r="AX28" s="9"/>
      <c r="AY28" s="9"/>
      <c r="AZ28" s="9" t="s">
        <v>110</v>
      </c>
      <c r="BB28" s="6" t="s">
        <v>110</v>
      </c>
      <c r="BC28" s="6" t="s">
        <v>110</v>
      </c>
      <c r="BD28" s="6"/>
      <c r="BE28" s="6" t="s">
        <v>110</v>
      </c>
      <c r="BF28" s="6"/>
      <c r="BG28" s="6"/>
      <c r="BI28" s="3"/>
      <c r="BJ28" s="3" t="s">
        <v>110</v>
      </c>
      <c r="BK28" s="3"/>
      <c r="BL28" s="3" t="s">
        <v>110</v>
      </c>
      <c r="BM28" s="3" t="s">
        <v>110</v>
      </c>
      <c r="BN28" s="3"/>
    </row>
    <row r="29" spans="1:66" x14ac:dyDescent="0.25">
      <c r="X29">
        <v>29</v>
      </c>
      <c r="Z29" s="17" t="s">
        <v>110</v>
      </c>
      <c r="AA29" s="17" t="s">
        <v>110</v>
      </c>
      <c r="AB29" s="17" t="s">
        <v>110</v>
      </c>
      <c r="AC29" s="17"/>
      <c r="AD29" s="17" t="s">
        <v>110</v>
      </c>
      <c r="AE29" s="17"/>
      <c r="AG29" s="15"/>
      <c r="AH29" s="15"/>
      <c r="AI29" s="15" t="s">
        <v>110</v>
      </c>
      <c r="AJ29" s="15"/>
      <c r="AK29" s="15"/>
      <c r="AL29" s="15" t="s">
        <v>110</v>
      </c>
      <c r="AN29" s="12"/>
      <c r="AO29" s="12" t="s">
        <v>110</v>
      </c>
      <c r="AP29" s="12"/>
      <c r="AQ29" s="12" t="s">
        <v>110</v>
      </c>
      <c r="AR29" s="12" t="s">
        <v>110</v>
      </c>
      <c r="AS29" s="12" t="s">
        <v>110</v>
      </c>
      <c r="AU29" s="9"/>
      <c r="AV29" s="9"/>
      <c r="AW29" s="9"/>
      <c r="AX29" s="9" t="s">
        <v>110</v>
      </c>
      <c r="AY29" s="9" t="s">
        <v>110</v>
      </c>
      <c r="AZ29" s="9"/>
      <c r="BB29" s="6"/>
      <c r="BC29" s="6"/>
      <c r="BD29" s="6" t="s">
        <v>110</v>
      </c>
      <c r="BE29" s="6" t="s">
        <v>110</v>
      </c>
      <c r="BF29" s="6"/>
      <c r="BG29" s="6" t="s">
        <v>110</v>
      </c>
      <c r="BI29" s="3"/>
      <c r="BJ29" s="3"/>
      <c r="BK29" s="3"/>
      <c r="BL29" s="3" t="s">
        <v>110</v>
      </c>
      <c r="BM29" s="3"/>
      <c r="BN29" s="3"/>
    </row>
    <row r="30" spans="1:66" x14ac:dyDescent="0.25">
      <c r="A30" t="s">
        <v>31</v>
      </c>
      <c r="B30">
        <v>30</v>
      </c>
      <c r="C30">
        <v>0</v>
      </c>
      <c r="D30">
        <v>0</v>
      </c>
      <c r="E30">
        <v>10</v>
      </c>
      <c r="F30">
        <v>0</v>
      </c>
      <c r="G30">
        <v>0</v>
      </c>
      <c r="H30">
        <v>0</v>
      </c>
      <c r="I30">
        <v>0</v>
      </c>
      <c r="J30">
        <v>0</v>
      </c>
      <c r="M30">
        <f>$M$7 + H30</f>
        <v>19</v>
      </c>
      <c r="N30">
        <f>$N$7 + I30</f>
        <v>76</v>
      </c>
      <c r="O30">
        <f>$O$7 + H30</f>
        <v>34</v>
      </c>
      <c r="P30">
        <f>$P$7 + I30</f>
        <v>136</v>
      </c>
      <c r="X30">
        <v>30</v>
      </c>
      <c r="Z30" s="17"/>
      <c r="AA30" s="17" t="s">
        <v>110</v>
      </c>
      <c r="AB30" s="17"/>
      <c r="AC30" s="17"/>
      <c r="AD30" s="17" t="s">
        <v>110</v>
      </c>
      <c r="AE30" s="17" t="s">
        <v>110</v>
      </c>
      <c r="AG30" s="15" t="s">
        <v>110</v>
      </c>
      <c r="AH30" s="15"/>
      <c r="AI30" s="15"/>
      <c r="AJ30" s="15"/>
      <c r="AK30" s="15" t="s">
        <v>110</v>
      </c>
      <c r="AL30" s="15" t="s">
        <v>110</v>
      </c>
      <c r="AN30" s="12"/>
      <c r="AO30" s="12"/>
      <c r="AP30" s="12" t="s">
        <v>110</v>
      </c>
      <c r="AQ30" s="12"/>
      <c r="AR30" s="12" t="s">
        <v>110</v>
      </c>
      <c r="AS30" s="12" t="s">
        <v>110</v>
      </c>
      <c r="AU30" s="9"/>
      <c r="AV30" s="9" t="s">
        <v>110</v>
      </c>
      <c r="AW30" s="9" t="s">
        <v>110</v>
      </c>
      <c r="AX30" s="9"/>
      <c r="AY30" s="9"/>
      <c r="AZ30" s="9"/>
      <c r="BB30" s="6"/>
      <c r="BC30" s="6"/>
      <c r="BD30" s="6"/>
      <c r="BE30" s="6" t="s">
        <v>110</v>
      </c>
      <c r="BF30" s="6" t="s">
        <v>110</v>
      </c>
      <c r="BG30" s="6"/>
      <c r="BI30" s="3" t="s">
        <v>110</v>
      </c>
      <c r="BJ30" s="3"/>
      <c r="BK30" s="3" t="s">
        <v>110</v>
      </c>
      <c r="BL30" s="3" t="s">
        <v>110</v>
      </c>
      <c r="BM30" s="3"/>
      <c r="BN30" s="3" t="s">
        <v>110</v>
      </c>
    </row>
    <row r="31" spans="1:66" x14ac:dyDescent="0.25">
      <c r="A31" t="s">
        <v>32</v>
      </c>
      <c r="B31">
        <v>10</v>
      </c>
      <c r="C31">
        <v>5</v>
      </c>
      <c r="D31">
        <v>0</v>
      </c>
      <c r="E31">
        <v>5</v>
      </c>
      <c r="F31">
        <v>0</v>
      </c>
      <c r="G31">
        <v>0</v>
      </c>
      <c r="H31">
        <v>48</v>
      </c>
      <c r="I31">
        <v>0</v>
      </c>
      <c r="J31">
        <v>0</v>
      </c>
      <c r="M31">
        <f t="shared" ref="M31:M32" si="22">$M$7 + H31</f>
        <v>67</v>
      </c>
      <c r="N31">
        <f t="shared" ref="N31:N32" si="23">$N$7 + I31</f>
        <v>76</v>
      </c>
      <c r="O31">
        <f t="shared" ref="O31:O32" si="24">$O$7 + H31</f>
        <v>82</v>
      </c>
      <c r="P31">
        <f t="shared" ref="P31:P32" si="25">$P$7 + I31</f>
        <v>136</v>
      </c>
      <c r="X31">
        <v>31</v>
      </c>
      <c r="Z31" s="17"/>
      <c r="AA31" s="17" t="s">
        <v>110</v>
      </c>
      <c r="AB31" s="17" t="s">
        <v>110</v>
      </c>
      <c r="AC31" s="17" t="s">
        <v>110</v>
      </c>
      <c r="AD31" s="17"/>
      <c r="AE31" s="17" t="s">
        <v>110</v>
      </c>
      <c r="AG31" s="15"/>
      <c r="AH31" s="15" t="s">
        <v>110</v>
      </c>
      <c r="AI31" s="15" t="s">
        <v>110</v>
      </c>
      <c r="AJ31" s="15" t="s">
        <v>110</v>
      </c>
      <c r="AK31" s="15"/>
      <c r="AL31" s="15" t="s">
        <v>110</v>
      </c>
      <c r="AN31" s="12" t="s">
        <v>110</v>
      </c>
      <c r="AO31" s="12" t="s">
        <v>110</v>
      </c>
      <c r="AP31" s="12"/>
      <c r="AQ31" s="12" t="s">
        <v>110</v>
      </c>
      <c r="AR31" s="12" t="s">
        <v>110</v>
      </c>
      <c r="AS31" s="12"/>
      <c r="AU31" s="9"/>
      <c r="AV31" s="9"/>
      <c r="AW31" s="9"/>
      <c r="AX31" s="9" t="s">
        <v>110</v>
      </c>
      <c r="AY31" s="9"/>
      <c r="AZ31" s="9" t="s">
        <v>110</v>
      </c>
      <c r="BB31" s="6"/>
      <c r="BC31" s="6" t="s">
        <v>110</v>
      </c>
      <c r="BD31" s="6"/>
      <c r="BE31" s="6"/>
      <c r="BF31" s="6"/>
      <c r="BG31" s="6"/>
      <c r="BI31" s="3"/>
      <c r="BJ31" s="3" t="s">
        <v>110</v>
      </c>
      <c r="BK31" s="3"/>
      <c r="BL31" s="3" t="s">
        <v>110</v>
      </c>
      <c r="BM31" s="3"/>
      <c r="BN31" s="3"/>
    </row>
    <row r="32" spans="1:66" x14ac:dyDescent="0.25">
      <c r="A32" t="s">
        <v>33</v>
      </c>
      <c r="B32">
        <v>10</v>
      </c>
      <c r="C32">
        <v>5</v>
      </c>
      <c r="D32">
        <v>0</v>
      </c>
      <c r="E32">
        <v>5</v>
      </c>
      <c r="F32">
        <v>0</v>
      </c>
      <c r="G32">
        <v>0</v>
      </c>
      <c r="H32">
        <v>32</v>
      </c>
      <c r="I32">
        <v>40</v>
      </c>
      <c r="J32">
        <v>0</v>
      </c>
      <c r="M32">
        <f t="shared" si="22"/>
        <v>51</v>
      </c>
      <c r="N32">
        <f t="shared" si="23"/>
        <v>116</v>
      </c>
      <c r="O32">
        <f t="shared" si="24"/>
        <v>66</v>
      </c>
      <c r="P32">
        <f t="shared" si="25"/>
        <v>176</v>
      </c>
      <c r="X32">
        <v>32</v>
      </c>
      <c r="Z32" s="17" t="s">
        <v>110</v>
      </c>
      <c r="AA32" s="17" t="s">
        <v>110</v>
      </c>
      <c r="AB32" s="17"/>
      <c r="AC32" s="17"/>
      <c r="AD32" s="17" t="s">
        <v>110</v>
      </c>
      <c r="AE32" s="17"/>
      <c r="AG32" s="15"/>
      <c r="AH32" s="15"/>
      <c r="AI32" s="15" t="s">
        <v>110</v>
      </c>
      <c r="AJ32" s="15"/>
      <c r="AK32" s="15"/>
      <c r="AL32" s="15" t="s">
        <v>110</v>
      </c>
      <c r="AN32" s="12" t="s">
        <v>110</v>
      </c>
      <c r="AO32" s="12"/>
      <c r="AP32" s="12" t="s">
        <v>110</v>
      </c>
      <c r="AQ32" s="12"/>
      <c r="AR32" s="12" t="s">
        <v>110</v>
      </c>
      <c r="AS32" s="12" t="s">
        <v>110</v>
      </c>
      <c r="AU32" s="9"/>
      <c r="AV32" s="9" t="s">
        <v>110</v>
      </c>
      <c r="AW32" s="9"/>
      <c r="AX32" s="9"/>
      <c r="AY32" s="9" t="s">
        <v>110</v>
      </c>
      <c r="AZ32" s="9" t="s">
        <v>110</v>
      </c>
      <c r="BB32" s="6" t="s">
        <v>110</v>
      </c>
      <c r="BC32" s="6"/>
      <c r="BD32" s="6" t="s">
        <v>110</v>
      </c>
      <c r="BE32" s="6"/>
      <c r="BF32" s="6"/>
      <c r="BG32" s="6" t="s">
        <v>110</v>
      </c>
      <c r="BI32" s="3"/>
      <c r="BJ32" s="3"/>
      <c r="BK32" s="3"/>
      <c r="BL32" s="3" t="s">
        <v>110</v>
      </c>
      <c r="BM32" s="3" t="s">
        <v>110</v>
      </c>
      <c r="BN32" s="3"/>
    </row>
    <row r="33" spans="24:66" x14ac:dyDescent="0.25">
      <c r="X33">
        <v>33</v>
      </c>
      <c r="Z33" s="17"/>
      <c r="AA33" s="17" t="s">
        <v>110</v>
      </c>
      <c r="AB33" s="17" t="s">
        <v>110</v>
      </c>
      <c r="AC33" s="17"/>
      <c r="AD33" s="17"/>
      <c r="AE33" s="17" t="s">
        <v>110</v>
      </c>
      <c r="AG33" s="15" t="s">
        <v>110</v>
      </c>
      <c r="AH33" s="15" t="s">
        <v>110</v>
      </c>
      <c r="AI33" s="15" t="s">
        <v>110</v>
      </c>
      <c r="AJ33" s="15"/>
      <c r="AK33" s="15" t="s">
        <v>110</v>
      </c>
      <c r="AL33" s="15" t="s">
        <v>110</v>
      </c>
      <c r="AN33" s="12"/>
      <c r="AO33" s="12" t="s">
        <v>110</v>
      </c>
      <c r="AP33" s="12"/>
      <c r="AQ33" s="12" t="s">
        <v>110</v>
      </c>
      <c r="AR33" s="12" t="s">
        <v>110</v>
      </c>
      <c r="AS33" s="12" t="s">
        <v>110</v>
      </c>
      <c r="AU33" s="9"/>
      <c r="AV33" s="9"/>
      <c r="AW33" s="9" t="s">
        <v>110</v>
      </c>
      <c r="AX33" s="9" t="s">
        <v>110</v>
      </c>
      <c r="AY33" s="9"/>
      <c r="AZ33" s="9"/>
      <c r="BB33" s="6"/>
      <c r="BC33" s="6"/>
      <c r="BD33" s="6"/>
      <c r="BE33" s="6"/>
      <c r="BF33" s="6" t="s">
        <v>110</v>
      </c>
      <c r="BG33" s="6"/>
      <c r="BI33" s="3"/>
      <c r="BJ33" s="3"/>
      <c r="BK33" s="3" t="s">
        <v>110</v>
      </c>
      <c r="BL33" s="3" t="s">
        <v>110</v>
      </c>
      <c r="BM33" s="3"/>
      <c r="BN33" s="3"/>
    </row>
    <row r="34" spans="24:66" x14ac:dyDescent="0.25">
      <c r="X34">
        <v>34</v>
      </c>
      <c r="Z34" s="17"/>
      <c r="AA34" s="17" t="s">
        <v>110</v>
      </c>
      <c r="AB34" s="17"/>
      <c r="AC34" s="17" t="s">
        <v>110</v>
      </c>
      <c r="AD34" s="17" t="s">
        <v>110</v>
      </c>
      <c r="AE34" s="17"/>
      <c r="AG34" s="15"/>
      <c r="AH34" s="15" t="s">
        <v>110</v>
      </c>
      <c r="AI34" s="15" t="s">
        <v>110</v>
      </c>
      <c r="AJ34" s="15" t="s">
        <v>110</v>
      </c>
      <c r="AK34" s="15"/>
      <c r="AL34" s="15" t="s">
        <v>110</v>
      </c>
      <c r="AN34" s="12" t="s">
        <v>110</v>
      </c>
      <c r="AO34" s="12"/>
      <c r="AP34" s="12" t="s">
        <v>110</v>
      </c>
      <c r="AQ34" s="12"/>
      <c r="AR34" s="12" t="s">
        <v>110</v>
      </c>
      <c r="AS34" s="12"/>
      <c r="AU34" s="9"/>
      <c r="AV34" s="9" t="s">
        <v>110</v>
      </c>
      <c r="AW34" s="9"/>
      <c r="AX34" s="9"/>
      <c r="AY34" s="9"/>
      <c r="AZ34" s="9"/>
      <c r="BB34" s="6"/>
      <c r="BC34" s="6" t="s">
        <v>110</v>
      </c>
      <c r="BD34" s="6"/>
      <c r="BE34" s="6"/>
      <c r="BF34" s="6"/>
      <c r="BG34" s="6"/>
      <c r="BI34" s="3"/>
      <c r="BJ34" s="3" t="s">
        <v>110</v>
      </c>
      <c r="BK34" s="3"/>
      <c r="BL34" s="3" t="s">
        <v>110</v>
      </c>
      <c r="BM34" s="3"/>
      <c r="BN34" s="3" t="s">
        <v>110</v>
      </c>
    </row>
    <row r="35" spans="24:66" x14ac:dyDescent="0.25">
      <c r="X35">
        <v>35</v>
      </c>
      <c r="Z35" s="17" t="s">
        <v>110</v>
      </c>
      <c r="AA35" s="17" t="s">
        <v>110</v>
      </c>
      <c r="AB35" s="17" t="s">
        <v>110</v>
      </c>
      <c r="AC35" s="17"/>
      <c r="AD35" s="17"/>
      <c r="AE35" s="17" t="s">
        <v>110</v>
      </c>
      <c r="AG35" s="15"/>
      <c r="AH35" s="15"/>
      <c r="AI35" s="15" t="s">
        <v>110</v>
      </c>
      <c r="AJ35" s="15"/>
      <c r="AK35" s="15"/>
      <c r="AL35" s="15" t="s">
        <v>110</v>
      </c>
      <c r="AN35" s="12"/>
      <c r="AO35" s="12" t="s">
        <v>110</v>
      </c>
      <c r="AP35" s="12"/>
      <c r="AQ35" s="12" t="s">
        <v>110</v>
      </c>
      <c r="AR35" s="12" t="s">
        <v>110</v>
      </c>
      <c r="AS35" s="12" t="s">
        <v>110</v>
      </c>
      <c r="AU35" s="9"/>
      <c r="AV35" s="9"/>
      <c r="AW35" s="9"/>
      <c r="AX35" s="9" t="s">
        <v>110</v>
      </c>
      <c r="AY35" s="9" t="s">
        <v>110</v>
      </c>
      <c r="AZ35" s="9" t="s">
        <v>110</v>
      </c>
      <c r="BB35" s="6"/>
      <c r="BC35" s="6"/>
      <c r="BD35" s="6" t="s">
        <v>110</v>
      </c>
      <c r="BE35" s="6"/>
      <c r="BF35" s="6"/>
      <c r="BG35" s="6" t="s">
        <v>110</v>
      </c>
      <c r="BI35" s="3" t="s">
        <v>110</v>
      </c>
      <c r="BJ35" s="3"/>
      <c r="BK35" s="3"/>
      <c r="BL35" s="3" t="s">
        <v>110</v>
      </c>
      <c r="BM35" s="3"/>
      <c r="BN35" s="3"/>
    </row>
    <row r="36" spans="24:66" x14ac:dyDescent="0.25">
      <c r="X36">
        <v>36</v>
      </c>
      <c r="Z36" s="17"/>
      <c r="AA36" s="17" t="s">
        <v>110</v>
      </c>
      <c r="AB36" s="17"/>
      <c r="AC36" s="17"/>
      <c r="AD36" s="17" t="s">
        <v>110</v>
      </c>
      <c r="AE36" s="17"/>
      <c r="AG36" s="15"/>
      <c r="AH36" s="15" t="s">
        <v>110</v>
      </c>
      <c r="AI36" s="15" t="s">
        <v>110</v>
      </c>
      <c r="AJ36" s="15"/>
      <c r="AK36" s="15" t="s">
        <v>110</v>
      </c>
      <c r="AL36" s="15" t="s">
        <v>110</v>
      </c>
      <c r="AN36" s="12"/>
      <c r="AO36" s="12"/>
      <c r="AP36" s="12" t="s">
        <v>110</v>
      </c>
      <c r="AQ36" s="12"/>
      <c r="AR36" s="12" t="s">
        <v>110</v>
      </c>
      <c r="AS36" s="12" t="s">
        <v>110</v>
      </c>
      <c r="AU36" s="9"/>
      <c r="AV36" s="9" t="s">
        <v>110</v>
      </c>
      <c r="AW36" s="9" t="s">
        <v>110</v>
      </c>
      <c r="AX36" s="9"/>
      <c r="AY36" s="9"/>
      <c r="AZ36" s="9" t="s">
        <v>110</v>
      </c>
      <c r="BB36" s="6"/>
      <c r="BC36" s="6"/>
      <c r="BD36" s="6"/>
      <c r="BE36" s="6"/>
      <c r="BF36" s="6" t="s">
        <v>110</v>
      </c>
      <c r="BG36" s="6"/>
      <c r="BI36" s="3"/>
      <c r="BJ36" s="3"/>
      <c r="BK36" s="3" t="s">
        <v>110</v>
      </c>
      <c r="BL36" s="3" t="s">
        <v>110</v>
      </c>
      <c r="BM36" s="3" t="s">
        <v>110</v>
      </c>
      <c r="BN36" s="3"/>
    </row>
    <row r="37" spans="24:66" x14ac:dyDescent="0.25">
      <c r="X37">
        <v>37</v>
      </c>
      <c r="Z37" s="17"/>
      <c r="AA37" s="17" t="s">
        <v>110</v>
      </c>
      <c r="AB37" s="17" t="s">
        <v>110</v>
      </c>
      <c r="AC37" s="17" t="s">
        <v>110</v>
      </c>
      <c r="AD37" s="17"/>
      <c r="AE37" s="17" t="s">
        <v>110</v>
      </c>
      <c r="AG37" s="15" t="s">
        <v>110</v>
      </c>
      <c r="AH37" s="15" t="s">
        <v>110</v>
      </c>
      <c r="AI37" s="15" t="s">
        <v>110</v>
      </c>
      <c r="AJ37" s="15" t="s">
        <v>110</v>
      </c>
      <c r="AK37" s="15"/>
      <c r="AL37" s="15" t="s">
        <v>110</v>
      </c>
      <c r="AN37" s="12" t="s">
        <v>110</v>
      </c>
      <c r="AO37" s="12" t="s">
        <v>110</v>
      </c>
      <c r="AP37" s="12"/>
      <c r="AQ37" s="12" t="s">
        <v>110</v>
      </c>
      <c r="AR37" s="12" t="s">
        <v>110</v>
      </c>
      <c r="AS37" s="12"/>
      <c r="AU37" s="9" t="s">
        <v>110</v>
      </c>
      <c r="AV37" s="9"/>
      <c r="AW37" s="9"/>
      <c r="AX37" s="9" t="s">
        <v>110</v>
      </c>
      <c r="AY37" s="9"/>
      <c r="AZ37" s="9"/>
      <c r="BB37" s="6" t="s">
        <v>110</v>
      </c>
      <c r="BC37" s="6" t="s">
        <v>110</v>
      </c>
      <c r="BD37" s="6"/>
      <c r="BE37" s="6"/>
      <c r="BF37" s="6"/>
      <c r="BG37" s="6"/>
      <c r="BI37" s="3"/>
      <c r="BJ37" s="3" t="s">
        <v>110</v>
      </c>
      <c r="BK37" s="3"/>
      <c r="BL37" s="3" t="s">
        <v>110</v>
      </c>
      <c r="BM37" s="3"/>
      <c r="BN37" s="3"/>
    </row>
    <row r="38" spans="24:66" x14ac:dyDescent="0.25">
      <c r="X38">
        <v>38</v>
      </c>
      <c r="Z38" s="17" t="s">
        <v>110</v>
      </c>
      <c r="AA38" s="17" t="s">
        <v>110</v>
      </c>
      <c r="AB38" s="17"/>
      <c r="AC38" s="17"/>
      <c r="AD38" s="17" t="s">
        <v>110</v>
      </c>
      <c r="AE38" s="17"/>
      <c r="AG38" s="15"/>
      <c r="AH38" s="15"/>
      <c r="AI38" s="15" t="s">
        <v>110</v>
      </c>
      <c r="AJ38" s="15"/>
      <c r="AK38" s="15"/>
      <c r="AL38" s="15" t="s">
        <v>110</v>
      </c>
      <c r="AN38" s="12"/>
      <c r="AO38" s="12"/>
      <c r="AP38" s="12" t="s">
        <v>110</v>
      </c>
      <c r="AQ38" s="12"/>
      <c r="AR38" s="12" t="s">
        <v>110</v>
      </c>
      <c r="AS38" s="12" t="s">
        <v>110</v>
      </c>
      <c r="AU38" s="9"/>
      <c r="AV38" s="9" t="s">
        <v>110</v>
      </c>
      <c r="AW38" s="9"/>
      <c r="AX38" s="9"/>
      <c r="AY38" s="9" t="s">
        <v>110</v>
      </c>
      <c r="AZ38" s="9"/>
      <c r="BB38" s="6"/>
      <c r="BC38" s="6"/>
      <c r="BD38" s="6" t="s">
        <v>110</v>
      </c>
      <c r="BE38" s="6"/>
      <c r="BF38" s="6"/>
      <c r="BG38" s="6" t="s">
        <v>110</v>
      </c>
      <c r="BI38" s="3"/>
      <c r="BJ38" s="3"/>
      <c r="BK38" s="3"/>
      <c r="BL38" s="3" t="s">
        <v>110</v>
      </c>
      <c r="BM38" s="3"/>
      <c r="BN38" s="3" t="s">
        <v>110</v>
      </c>
    </row>
    <row r="39" spans="24:66" x14ac:dyDescent="0.25">
      <c r="X39">
        <v>39</v>
      </c>
      <c r="Z39" s="17"/>
      <c r="AA39" s="17" t="s">
        <v>110</v>
      </c>
      <c r="AB39" s="17" t="s">
        <v>110</v>
      </c>
      <c r="AC39" s="17"/>
      <c r="AD39" s="17"/>
      <c r="AE39" s="17" t="s">
        <v>110</v>
      </c>
      <c r="AG39" s="15"/>
      <c r="AH39" s="15" t="s">
        <v>110</v>
      </c>
      <c r="AI39" s="15" t="s">
        <v>110</v>
      </c>
      <c r="AJ39" s="15"/>
      <c r="AK39" s="15" t="s">
        <v>110</v>
      </c>
      <c r="AL39" s="15" t="s">
        <v>110</v>
      </c>
      <c r="AN39" s="12"/>
      <c r="AO39" s="12" t="s">
        <v>110</v>
      </c>
      <c r="AP39" s="12"/>
      <c r="AQ39" s="12" t="s">
        <v>110</v>
      </c>
      <c r="AR39" s="12" t="s">
        <v>110</v>
      </c>
      <c r="AS39" s="12" t="s">
        <v>110</v>
      </c>
      <c r="AU39" s="9"/>
      <c r="AV39" s="9"/>
      <c r="AW39" s="9" t="s">
        <v>110</v>
      </c>
      <c r="AX39" s="9" t="s">
        <v>110</v>
      </c>
      <c r="AY39" s="9"/>
      <c r="AZ39" s="9" t="s">
        <v>110</v>
      </c>
      <c r="BB39" s="6"/>
      <c r="BC39" s="6"/>
      <c r="BD39" s="6"/>
      <c r="BE39" s="6"/>
      <c r="BF39" s="6" t="s">
        <v>110</v>
      </c>
      <c r="BG39" s="6"/>
      <c r="BI39" s="3"/>
      <c r="BJ39" s="3"/>
      <c r="BK39" s="3" t="s">
        <v>110</v>
      </c>
      <c r="BL39" s="3" t="s">
        <v>110</v>
      </c>
      <c r="BM39" s="3"/>
      <c r="BN39" s="3"/>
    </row>
    <row r="40" spans="24:66" x14ac:dyDescent="0.25">
      <c r="X40">
        <v>40</v>
      </c>
      <c r="Z40" s="17"/>
      <c r="AA40" s="17" t="s">
        <v>110</v>
      </c>
      <c r="AB40" s="17"/>
      <c r="AC40" s="17" t="s">
        <v>110</v>
      </c>
      <c r="AD40" s="17" t="s">
        <v>110</v>
      </c>
      <c r="AE40" s="17"/>
      <c r="AG40" s="15"/>
      <c r="AH40" s="15" t="s">
        <v>110</v>
      </c>
      <c r="AI40" s="15" t="s">
        <v>110</v>
      </c>
      <c r="AJ40" s="15" t="s">
        <v>110</v>
      </c>
      <c r="AK40" s="15"/>
      <c r="AL40" s="15" t="s">
        <v>110</v>
      </c>
      <c r="AN40" s="12" t="s">
        <v>110</v>
      </c>
      <c r="AO40" s="12"/>
      <c r="AP40" s="12" t="s">
        <v>110</v>
      </c>
      <c r="AQ40" s="12"/>
      <c r="AR40" s="12" t="s">
        <v>110</v>
      </c>
      <c r="AS40" s="12"/>
      <c r="AU40" s="9"/>
      <c r="AV40" s="9" t="s">
        <v>110</v>
      </c>
      <c r="AW40" s="9"/>
      <c r="AX40" s="9"/>
      <c r="AY40" s="9"/>
      <c r="AZ40" s="9" t="s">
        <v>110</v>
      </c>
      <c r="BB40" s="6"/>
      <c r="BC40" s="6" t="s">
        <v>110</v>
      </c>
      <c r="BD40" s="6"/>
      <c r="BE40" s="6"/>
      <c r="BF40" s="6"/>
      <c r="BG40" s="6"/>
      <c r="BI40" s="3"/>
      <c r="BJ40" s="3" t="s">
        <v>110</v>
      </c>
      <c r="BK40" s="3"/>
      <c r="BL40" s="3" t="s">
        <v>110</v>
      </c>
      <c r="BM40" s="3" t="s">
        <v>110</v>
      </c>
      <c r="BN40" s="3"/>
    </row>
    <row r="41" spans="24:66" x14ac:dyDescent="0.25">
      <c r="X41">
        <v>41</v>
      </c>
      <c r="Z41" s="17" t="s">
        <v>110</v>
      </c>
      <c r="AA41" s="17" t="s">
        <v>110</v>
      </c>
      <c r="AB41" s="17" t="s">
        <v>110</v>
      </c>
      <c r="AC41" s="17"/>
      <c r="AD41" s="17"/>
      <c r="AE41" s="17"/>
      <c r="AG41" s="15" t="s">
        <v>110</v>
      </c>
      <c r="AH41" s="15"/>
      <c r="AI41" s="15" t="s">
        <v>110</v>
      </c>
      <c r="AJ41" s="15"/>
      <c r="AK41" s="15"/>
      <c r="AL41" s="15" t="s">
        <v>110</v>
      </c>
      <c r="AN41" s="12"/>
      <c r="AO41" s="12" t="s">
        <v>110</v>
      </c>
      <c r="AP41" s="12"/>
      <c r="AQ41" s="12" t="s">
        <v>110</v>
      </c>
      <c r="AR41" s="12" t="s">
        <v>110</v>
      </c>
      <c r="AS41" s="12" t="s">
        <v>110</v>
      </c>
      <c r="AU41" s="9"/>
      <c r="AV41" s="9"/>
      <c r="AW41" s="9"/>
      <c r="AX41" s="9" t="s">
        <v>110</v>
      </c>
      <c r="AY41" s="9" t="s">
        <v>110</v>
      </c>
      <c r="AZ41" s="9"/>
      <c r="BB41" s="6"/>
      <c r="BC41" s="6"/>
      <c r="BD41" s="6" t="s">
        <v>110</v>
      </c>
      <c r="BE41" s="6"/>
      <c r="BF41" s="6"/>
      <c r="BG41" s="6" t="s">
        <v>110</v>
      </c>
      <c r="BI41" s="3" t="s">
        <v>110</v>
      </c>
      <c r="BJ41" s="3"/>
      <c r="BK41" s="3"/>
      <c r="BL41" s="3" t="s">
        <v>110</v>
      </c>
      <c r="BM41" s="3"/>
      <c r="BN41" s="3"/>
    </row>
    <row r="42" spans="24:66" x14ac:dyDescent="0.25">
      <c r="X42">
        <v>42</v>
      </c>
      <c r="Z42" s="17"/>
      <c r="AA42" s="17" t="s">
        <v>110</v>
      </c>
      <c r="AB42" s="17"/>
      <c r="AC42" s="17"/>
      <c r="AD42" s="17"/>
      <c r="AE42" s="17"/>
      <c r="AG42" s="15"/>
      <c r="AH42" s="15" t="s">
        <v>110</v>
      </c>
      <c r="AI42" s="15"/>
      <c r="AJ42" s="15"/>
      <c r="AK42" s="15" t="s">
        <v>110</v>
      </c>
      <c r="AL42" s="15" t="s">
        <v>110</v>
      </c>
      <c r="AN42" s="12"/>
      <c r="AO42" s="12"/>
      <c r="AP42" s="12" t="s">
        <v>110</v>
      </c>
      <c r="AQ42" s="12"/>
      <c r="AR42" s="12" t="s">
        <v>110</v>
      </c>
      <c r="AS42" s="12" t="s">
        <v>110</v>
      </c>
      <c r="AU42" s="9"/>
      <c r="AV42" s="9" t="s">
        <v>110</v>
      </c>
      <c r="AW42" s="9" t="s">
        <v>110</v>
      </c>
      <c r="AX42" s="9"/>
      <c r="AY42" s="9"/>
      <c r="AZ42" s="9"/>
      <c r="BB42" s="6" t="s">
        <v>110</v>
      </c>
      <c r="BC42" s="6"/>
      <c r="BD42" s="6"/>
      <c r="BE42" s="6"/>
      <c r="BF42" s="6" t="s">
        <v>110</v>
      </c>
      <c r="BG42" s="6"/>
      <c r="BI42" s="3"/>
      <c r="BJ42" s="3"/>
      <c r="BK42" s="3"/>
      <c r="BL42" s="3" t="s">
        <v>110</v>
      </c>
      <c r="BM42" s="3"/>
      <c r="BN42" s="3" t="s">
        <v>110</v>
      </c>
    </row>
    <row r="43" spans="24:66" x14ac:dyDescent="0.25">
      <c r="X43">
        <v>43</v>
      </c>
      <c r="Z43" s="17"/>
      <c r="AA43" s="17" t="s">
        <v>110</v>
      </c>
      <c r="AB43" s="17" t="s">
        <v>110</v>
      </c>
      <c r="AC43" s="17" t="s">
        <v>110</v>
      </c>
      <c r="AD43" s="17"/>
      <c r="AE43" s="17"/>
      <c r="AG43" s="15"/>
      <c r="AH43" s="15"/>
      <c r="AI43" s="15" t="s">
        <v>110</v>
      </c>
      <c r="AJ43" s="15" t="s">
        <v>110</v>
      </c>
      <c r="AK43" s="15"/>
      <c r="AL43" s="15" t="s">
        <v>110</v>
      </c>
      <c r="AN43" s="12" t="s">
        <v>110</v>
      </c>
      <c r="AO43" s="12" t="s">
        <v>110</v>
      </c>
      <c r="AP43" s="12"/>
      <c r="AQ43" s="12" t="s">
        <v>110</v>
      </c>
      <c r="AR43" s="12" t="s">
        <v>110</v>
      </c>
      <c r="AS43" s="12"/>
      <c r="AU43" s="9"/>
      <c r="AV43" s="9"/>
      <c r="AW43" s="9"/>
      <c r="AX43" s="9" t="s">
        <v>110</v>
      </c>
      <c r="AY43" s="9"/>
      <c r="AZ43" s="9" t="s">
        <v>110</v>
      </c>
      <c r="BB43" s="6"/>
      <c r="BC43" s="6" t="s">
        <v>110</v>
      </c>
      <c r="BD43" s="6"/>
      <c r="BE43" s="6"/>
      <c r="BF43" s="6"/>
      <c r="BG43" s="6"/>
      <c r="BI43" s="3"/>
      <c r="BJ43" s="3"/>
      <c r="BK43" s="3"/>
      <c r="BL43" s="3" t="s">
        <v>110</v>
      </c>
      <c r="BM43" s="3"/>
      <c r="BN43" s="3"/>
    </row>
    <row r="44" spans="24:66" x14ac:dyDescent="0.25">
      <c r="X44">
        <v>44</v>
      </c>
      <c r="Z44" s="17" t="s">
        <v>110</v>
      </c>
      <c r="AA44" s="17" t="s">
        <v>110</v>
      </c>
      <c r="AB44" s="17"/>
      <c r="AC44" s="17"/>
      <c r="AD44" s="17"/>
      <c r="AE44" s="17"/>
      <c r="AG44" s="15"/>
      <c r="AH44" s="15" t="s">
        <v>110</v>
      </c>
      <c r="AI44" s="15"/>
      <c r="AJ44" s="15"/>
      <c r="AK44" s="15"/>
      <c r="AL44" s="15" t="s">
        <v>110</v>
      </c>
      <c r="AN44" s="12"/>
      <c r="AO44" s="12"/>
      <c r="AP44" s="12" t="s">
        <v>110</v>
      </c>
      <c r="AQ44" s="12"/>
      <c r="AR44" s="12" t="s">
        <v>110</v>
      </c>
      <c r="AS44" s="12"/>
      <c r="AU44" s="9"/>
      <c r="AV44" s="9" t="s">
        <v>110</v>
      </c>
      <c r="AW44" s="9"/>
      <c r="AX44" s="9"/>
      <c r="AY44" s="9" t="s">
        <v>110</v>
      </c>
      <c r="AZ44" s="9" t="s">
        <v>110</v>
      </c>
      <c r="BB44" s="6"/>
      <c r="BC44" s="6"/>
      <c r="BD44" s="6" t="s">
        <v>110</v>
      </c>
      <c r="BE44" s="6"/>
      <c r="BF44" s="6"/>
      <c r="BG44" s="6" t="s">
        <v>110</v>
      </c>
      <c r="BI44" s="3"/>
      <c r="BJ44" s="3"/>
      <c r="BK44" s="3"/>
      <c r="BL44" s="3" t="s">
        <v>110</v>
      </c>
      <c r="BM44" s="3" t="s">
        <v>110</v>
      </c>
      <c r="BN44" s="3"/>
    </row>
    <row r="45" spans="24:66" x14ac:dyDescent="0.25">
      <c r="X45">
        <v>45</v>
      </c>
      <c r="Z45" s="17"/>
      <c r="AA45" s="17" t="s">
        <v>110</v>
      </c>
      <c r="AB45" s="17" t="s">
        <v>110</v>
      </c>
      <c r="AC45" s="17"/>
      <c r="AD45" s="17"/>
      <c r="AE45" s="17"/>
      <c r="AG45" s="15"/>
      <c r="AH45" s="15"/>
      <c r="AI45" s="15" t="s">
        <v>110</v>
      </c>
      <c r="AJ45" s="15"/>
      <c r="AK45" s="15" t="s">
        <v>110</v>
      </c>
      <c r="AL45" s="15" t="s">
        <v>110</v>
      </c>
      <c r="AN45" s="12"/>
      <c r="AO45" s="12" t="s">
        <v>110</v>
      </c>
      <c r="AP45" s="12"/>
      <c r="AQ45" s="12" t="s">
        <v>110</v>
      </c>
      <c r="AR45" s="12" t="s">
        <v>110</v>
      </c>
      <c r="AS45" s="12" t="s">
        <v>110</v>
      </c>
      <c r="AU45" s="9"/>
      <c r="AV45" s="9"/>
      <c r="AW45" s="9" t="s">
        <v>110</v>
      </c>
      <c r="AX45" s="9" t="s">
        <v>110</v>
      </c>
      <c r="AY45" s="9"/>
      <c r="AZ45" s="9"/>
      <c r="BB45" s="6"/>
      <c r="BC45" s="6"/>
      <c r="BD45" s="6"/>
      <c r="BE45" s="6"/>
      <c r="BF45" s="6" t="s">
        <v>110</v>
      </c>
      <c r="BG45" s="6"/>
      <c r="BI45" s="3"/>
      <c r="BJ45" s="3"/>
      <c r="BK45" s="3"/>
      <c r="BL45" s="3" t="s">
        <v>110</v>
      </c>
      <c r="BM45" s="3"/>
      <c r="BN45" s="3"/>
    </row>
    <row r="46" spans="24:66" x14ac:dyDescent="0.25">
      <c r="X46">
        <v>46</v>
      </c>
      <c r="Z46" s="17"/>
      <c r="AA46" s="17" t="s">
        <v>110</v>
      </c>
      <c r="AB46" s="17"/>
      <c r="AC46" s="17"/>
      <c r="AD46" s="17"/>
      <c r="AE46" s="17"/>
      <c r="AG46" s="15" t="s">
        <v>110</v>
      </c>
      <c r="AH46" s="15" t="s">
        <v>110</v>
      </c>
      <c r="AI46" s="15"/>
      <c r="AJ46" s="15" t="s">
        <v>110</v>
      </c>
      <c r="AK46" s="15"/>
      <c r="AL46" s="15" t="s">
        <v>110</v>
      </c>
      <c r="AN46" s="12" t="s">
        <v>110</v>
      </c>
      <c r="AO46" s="12"/>
      <c r="AP46" s="12" t="s">
        <v>110</v>
      </c>
      <c r="AQ46" s="12"/>
      <c r="AR46" s="12" t="s">
        <v>110</v>
      </c>
      <c r="AS46" s="12"/>
      <c r="AU46" s="9"/>
      <c r="AV46" s="9" t="s">
        <v>110</v>
      </c>
      <c r="AW46" s="9"/>
      <c r="AX46" s="9"/>
      <c r="AY46" s="9"/>
      <c r="AZ46" s="9"/>
      <c r="BB46" s="6"/>
      <c r="BC46" s="6" t="s">
        <v>110</v>
      </c>
      <c r="BD46" s="6"/>
      <c r="BE46" s="6"/>
      <c r="BF46" s="6"/>
      <c r="BG46" s="6"/>
      <c r="BI46" s="3"/>
      <c r="BJ46" s="3"/>
      <c r="BK46" s="3"/>
      <c r="BL46" s="3" t="s">
        <v>110</v>
      </c>
      <c r="BM46" s="3"/>
      <c r="BN46" s="3" t="s">
        <v>110</v>
      </c>
    </row>
    <row r="47" spans="24:66" x14ac:dyDescent="0.25">
      <c r="X47">
        <v>47</v>
      </c>
      <c r="Z47" s="17" t="s">
        <v>110</v>
      </c>
      <c r="AA47" s="17" t="s">
        <v>110</v>
      </c>
      <c r="AB47" s="17" t="s">
        <v>110</v>
      </c>
      <c r="AC47" s="17"/>
      <c r="AD47" s="17"/>
      <c r="AE47" s="17"/>
      <c r="AG47" s="15"/>
      <c r="AH47" s="15"/>
      <c r="AI47" s="15" t="s">
        <v>110</v>
      </c>
      <c r="AJ47" s="15"/>
      <c r="AK47" s="15"/>
      <c r="AL47" s="15" t="s">
        <v>110</v>
      </c>
      <c r="AN47" s="12" t="s">
        <v>110</v>
      </c>
      <c r="AO47" s="12" t="s">
        <v>110</v>
      </c>
      <c r="AP47" s="12"/>
      <c r="AQ47" s="12" t="s">
        <v>110</v>
      </c>
      <c r="AR47" s="12" t="s">
        <v>110</v>
      </c>
      <c r="AS47" s="12"/>
      <c r="AU47" s="9" t="s">
        <v>110</v>
      </c>
      <c r="AV47" s="9"/>
      <c r="AW47" s="9"/>
      <c r="AX47" s="9" t="s">
        <v>110</v>
      </c>
      <c r="AY47" s="9" t="s">
        <v>110</v>
      </c>
      <c r="AZ47" s="9" t="s">
        <v>110</v>
      </c>
      <c r="BB47" s="6" t="s">
        <v>110</v>
      </c>
      <c r="BC47" s="6"/>
      <c r="BD47" s="6" t="s">
        <v>110</v>
      </c>
      <c r="BE47" s="6"/>
      <c r="BF47" s="6"/>
      <c r="BG47" s="6" t="s">
        <v>110</v>
      </c>
      <c r="BI47" s="3"/>
      <c r="BJ47" s="3"/>
      <c r="BK47" s="3"/>
      <c r="BL47" s="3" t="s">
        <v>110</v>
      </c>
      <c r="BM47" s="3"/>
      <c r="BN47" s="3"/>
    </row>
    <row r="48" spans="24:66" x14ac:dyDescent="0.25">
      <c r="X48">
        <v>48</v>
      </c>
      <c r="Z48" s="17"/>
      <c r="AA48" s="17" t="s">
        <v>110</v>
      </c>
      <c r="AB48" s="17"/>
      <c r="AC48" s="17"/>
      <c r="AD48" s="17"/>
      <c r="AE48" s="17"/>
      <c r="AG48" s="15"/>
      <c r="AH48" s="15" t="s">
        <v>110</v>
      </c>
      <c r="AI48" s="15"/>
      <c r="AJ48" s="15"/>
      <c r="AK48" s="15" t="s">
        <v>110</v>
      </c>
      <c r="AL48" s="15" t="s">
        <v>110</v>
      </c>
      <c r="AN48" s="12"/>
      <c r="AO48" s="12"/>
      <c r="AP48" s="12" t="s">
        <v>110</v>
      </c>
      <c r="AQ48" s="12"/>
      <c r="AR48" s="12" t="s">
        <v>110</v>
      </c>
      <c r="AS48" s="12" t="s">
        <v>110</v>
      </c>
      <c r="AU48" s="9"/>
      <c r="AV48" s="9" t="s">
        <v>110</v>
      </c>
      <c r="AW48" s="9" t="s">
        <v>110</v>
      </c>
      <c r="AX48" s="9"/>
      <c r="AY48" s="9"/>
      <c r="AZ48" s="9" t="s">
        <v>110</v>
      </c>
      <c r="BB48" s="6"/>
      <c r="BC48" s="6"/>
      <c r="BD48" s="6"/>
      <c r="BE48" s="6"/>
      <c r="BF48" s="6" t="s">
        <v>110</v>
      </c>
      <c r="BG48" s="6"/>
      <c r="BI48" s="3"/>
      <c r="BJ48" s="3"/>
      <c r="BK48" s="3"/>
      <c r="BL48" s="3" t="s">
        <v>110</v>
      </c>
      <c r="BM48" s="3" t="s">
        <v>110</v>
      </c>
      <c r="BN48" s="3"/>
    </row>
    <row r="49" spans="1:66" x14ac:dyDescent="0.25">
      <c r="X49">
        <v>49</v>
      </c>
      <c r="Z49" s="17"/>
      <c r="AA49" s="17" t="s">
        <v>110</v>
      </c>
      <c r="AB49" s="17" t="s">
        <v>110</v>
      </c>
      <c r="AC49" s="17"/>
      <c r="AD49" s="17"/>
      <c r="AE49" s="17"/>
      <c r="AG49" s="15"/>
      <c r="AH49" s="15"/>
      <c r="AI49" s="15" t="s">
        <v>110</v>
      </c>
      <c r="AJ49" s="15" t="s">
        <v>110</v>
      </c>
      <c r="AK49" s="15"/>
      <c r="AL49" s="15" t="s">
        <v>110</v>
      </c>
      <c r="AN49" s="12" t="s">
        <v>110</v>
      </c>
      <c r="AO49" s="12" t="s">
        <v>110</v>
      </c>
      <c r="AP49" s="12"/>
      <c r="AQ49" s="12" t="s">
        <v>110</v>
      </c>
      <c r="AR49" s="12" t="s">
        <v>110</v>
      </c>
      <c r="AS49" s="12"/>
      <c r="AU49" s="9"/>
      <c r="AV49" s="9"/>
      <c r="AW49" s="9"/>
      <c r="AX49" s="9" t="s">
        <v>110</v>
      </c>
      <c r="AY49" s="9"/>
      <c r="AZ49" s="9"/>
      <c r="BB49" s="6"/>
      <c r="BC49" s="6" t="s">
        <v>110</v>
      </c>
      <c r="BD49" s="6"/>
      <c r="BE49" s="6"/>
      <c r="BF49" s="6"/>
      <c r="BG49" s="6"/>
      <c r="BI49" s="3"/>
      <c r="BJ49" s="3"/>
      <c r="BK49" s="3"/>
      <c r="BL49" s="3" t="s">
        <v>110</v>
      </c>
      <c r="BM49" s="3"/>
      <c r="BN49" s="3"/>
    </row>
    <row r="50" spans="1:66" x14ac:dyDescent="0.25">
      <c r="X50">
        <v>50</v>
      </c>
      <c r="Z50" s="17" t="s">
        <v>110</v>
      </c>
      <c r="AA50" s="17" t="s">
        <v>110</v>
      </c>
      <c r="AB50" s="17"/>
      <c r="AC50" s="17"/>
      <c r="AD50" s="17"/>
      <c r="AE50" s="17"/>
      <c r="AG50" s="15"/>
      <c r="AH50" s="15" t="s">
        <v>110</v>
      </c>
      <c r="AI50" s="15"/>
      <c r="AJ50" s="15"/>
      <c r="AK50" s="15"/>
      <c r="AL50" s="15" t="s">
        <v>110</v>
      </c>
      <c r="AN50" s="12"/>
      <c r="AO50" s="12"/>
      <c r="AP50" s="12" t="s">
        <v>110</v>
      </c>
      <c r="AQ50" s="12"/>
      <c r="AR50" s="12" t="s">
        <v>110</v>
      </c>
      <c r="AS50" s="12"/>
      <c r="AU50" s="9"/>
      <c r="AV50" s="9" t="s">
        <v>110</v>
      </c>
      <c r="AW50" s="9"/>
      <c r="AX50" s="9"/>
      <c r="AY50" s="9" t="s">
        <v>110</v>
      </c>
      <c r="AZ50" s="9"/>
      <c r="BB50" s="6"/>
      <c r="BC50" s="6"/>
      <c r="BD50" s="6" t="s">
        <v>110</v>
      </c>
      <c r="BE50" s="6"/>
      <c r="BF50" s="6"/>
      <c r="BG50" s="6" t="s">
        <v>110</v>
      </c>
      <c r="BI50" s="3"/>
      <c r="BJ50" s="3"/>
      <c r="BK50" s="3"/>
      <c r="BL50" s="3" t="s">
        <v>110</v>
      </c>
      <c r="BM50" s="3"/>
      <c r="BN50" s="3" t="s">
        <v>110</v>
      </c>
    </row>
    <row r="51" spans="1:66" ht="15.75" thickBot="1" x14ac:dyDescent="0.3">
      <c r="A51" t="s">
        <v>323</v>
      </c>
      <c r="Z51" s="17">
        <f>COUNTA(Z2:Z50)</f>
        <v>27</v>
      </c>
      <c r="AA51" s="17">
        <f t="shared" ref="AA51:AE51" si="26">COUNTA(AA2:AA50)</f>
        <v>49</v>
      </c>
      <c r="AB51" s="17">
        <f t="shared" si="26"/>
        <v>35</v>
      </c>
      <c r="AC51" s="17">
        <f t="shared" si="26"/>
        <v>14</v>
      </c>
      <c r="AD51" s="17">
        <f t="shared" si="26"/>
        <v>25</v>
      </c>
      <c r="AE51" s="17">
        <f t="shared" si="26"/>
        <v>24</v>
      </c>
      <c r="AG51" s="15">
        <f t="shared" ref="AG51:AL51" si="27">COUNTA(AG2:AG50)</f>
        <v>18</v>
      </c>
      <c r="AH51" s="15">
        <f t="shared" si="27"/>
        <v>33</v>
      </c>
      <c r="AI51" s="15">
        <f t="shared" si="27"/>
        <v>32</v>
      </c>
      <c r="AJ51" s="15">
        <f t="shared" si="27"/>
        <v>17</v>
      </c>
      <c r="AK51" s="15">
        <f t="shared" si="27"/>
        <v>16</v>
      </c>
      <c r="AL51" s="15">
        <f t="shared" si="27"/>
        <v>49</v>
      </c>
      <c r="AN51" s="12">
        <f t="shared" ref="AN51:AS51" si="28">COUNTA(AN2:AN50)</f>
        <v>20</v>
      </c>
      <c r="AO51" s="12">
        <f t="shared" si="28"/>
        <v>24</v>
      </c>
      <c r="AP51" s="12">
        <f t="shared" si="28"/>
        <v>25</v>
      </c>
      <c r="AQ51" s="12">
        <f t="shared" si="28"/>
        <v>24</v>
      </c>
      <c r="AR51" s="12">
        <f t="shared" si="28"/>
        <v>49</v>
      </c>
      <c r="AS51" s="12">
        <f t="shared" si="28"/>
        <v>30</v>
      </c>
      <c r="AU51" s="9">
        <f t="shared" ref="AU51:AZ51" si="29">COUNTA(AU2:AU50)</f>
        <v>13</v>
      </c>
      <c r="AV51" s="9">
        <f t="shared" si="29"/>
        <v>25</v>
      </c>
      <c r="AW51" s="9">
        <f t="shared" si="29"/>
        <v>17</v>
      </c>
      <c r="AX51" s="9">
        <f t="shared" si="29"/>
        <v>24</v>
      </c>
      <c r="AY51" s="9">
        <f t="shared" si="29"/>
        <v>22</v>
      </c>
      <c r="AZ51" s="9">
        <f t="shared" si="29"/>
        <v>25</v>
      </c>
      <c r="BB51" s="6">
        <f t="shared" ref="BB51:BG51" si="30">COUNTA(BB2:BB50)</f>
        <v>15</v>
      </c>
      <c r="BC51" s="6">
        <f t="shared" si="30"/>
        <v>18</v>
      </c>
      <c r="BD51" s="6">
        <f t="shared" si="30"/>
        <v>18</v>
      </c>
      <c r="BE51" s="6">
        <f t="shared" si="30"/>
        <v>29</v>
      </c>
      <c r="BF51" s="6">
        <f t="shared" si="30"/>
        <v>19</v>
      </c>
      <c r="BG51" s="6">
        <f t="shared" si="30"/>
        <v>20</v>
      </c>
      <c r="BI51" s="3">
        <f t="shared" ref="BI51:BN51" si="31">COUNTA(BI2:BI50)</f>
        <v>12</v>
      </c>
      <c r="BJ51" s="3">
        <f t="shared" si="31"/>
        <v>13</v>
      </c>
      <c r="BK51" s="3">
        <f t="shared" si="31"/>
        <v>13</v>
      </c>
      <c r="BL51" s="3">
        <f t="shared" si="31"/>
        <v>49</v>
      </c>
      <c r="BM51" s="3">
        <f t="shared" si="31"/>
        <v>14</v>
      </c>
      <c r="BN51" s="3">
        <f t="shared" si="31"/>
        <v>14</v>
      </c>
    </row>
    <row r="52" spans="1:66" ht="15.75" thickTop="1" x14ac:dyDescent="0.25">
      <c r="A52" t="s">
        <v>329</v>
      </c>
      <c r="Z52" s="19">
        <f>COUNTA(Z2:Z25)</f>
        <v>18</v>
      </c>
      <c r="AA52" s="19">
        <f t="shared" ref="AA52:AE52" si="32">COUNTA(AA2:AA25)</f>
        <v>24</v>
      </c>
      <c r="AB52" s="19">
        <f t="shared" si="32"/>
        <v>22</v>
      </c>
      <c r="AC52" s="19">
        <f t="shared" si="32"/>
        <v>8</v>
      </c>
      <c r="AD52" s="19">
        <f t="shared" si="32"/>
        <v>16</v>
      </c>
      <c r="AE52" s="19">
        <f t="shared" si="32"/>
        <v>16</v>
      </c>
      <c r="AG52" s="16">
        <f t="shared" ref="AG52:AL52" si="33">COUNTA(AG2:AG25)</f>
        <v>12</v>
      </c>
      <c r="AH52" s="16">
        <f t="shared" si="33"/>
        <v>19</v>
      </c>
      <c r="AI52" s="16">
        <f t="shared" si="33"/>
        <v>14</v>
      </c>
      <c r="AJ52" s="16">
        <f t="shared" si="33"/>
        <v>9</v>
      </c>
      <c r="AK52" s="16">
        <f t="shared" si="33"/>
        <v>8</v>
      </c>
      <c r="AL52" s="16">
        <f t="shared" si="33"/>
        <v>24</v>
      </c>
      <c r="AN52" s="13">
        <f t="shared" ref="AN52:AS52" si="34">COUNTA(AN2:AN25)</f>
        <v>10</v>
      </c>
      <c r="AO52" s="13">
        <f t="shared" si="34"/>
        <v>12</v>
      </c>
      <c r="AP52" s="13">
        <f t="shared" si="34"/>
        <v>12</v>
      </c>
      <c r="AQ52" s="13">
        <f t="shared" si="34"/>
        <v>12</v>
      </c>
      <c r="AR52" s="13">
        <f t="shared" si="34"/>
        <v>24</v>
      </c>
      <c r="AS52" s="13">
        <f t="shared" si="34"/>
        <v>16</v>
      </c>
      <c r="AU52" s="10">
        <f t="shared" ref="AU52:AZ52" si="35">COUNTA(AU2:AU25)</f>
        <v>10</v>
      </c>
      <c r="AV52" s="10">
        <f t="shared" si="35"/>
        <v>12</v>
      </c>
      <c r="AW52" s="10">
        <f t="shared" si="35"/>
        <v>9</v>
      </c>
      <c r="AX52" s="10">
        <f t="shared" si="35"/>
        <v>12</v>
      </c>
      <c r="AY52" s="10">
        <f t="shared" si="35"/>
        <v>13</v>
      </c>
      <c r="AZ52" s="10">
        <f t="shared" si="35"/>
        <v>13</v>
      </c>
      <c r="BB52" s="7">
        <f t="shared" ref="BB52:BG52" si="36">COUNTA(BB2:BB25)</f>
        <v>10</v>
      </c>
      <c r="BC52" s="7">
        <f t="shared" si="36"/>
        <v>10</v>
      </c>
      <c r="BD52" s="7">
        <f t="shared" si="36"/>
        <v>9</v>
      </c>
      <c r="BE52" s="7">
        <f t="shared" si="36"/>
        <v>24</v>
      </c>
      <c r="BF52" s="7">
        <f t="shared" si="36"/>
        <v>11</v>
      </c>
      <c r="BG52" s="7">
        <f t="shared" si="36"/>
        <v>11</v>
      </c>
      <c r="BI52" s="4">
        <f t="shared" ref="BI52:BN52" si="37">COUNTA(BI2:BI25)</f>
        <v>8</v>
      </c>
      <c r="BJ52" s="4">
        <f t="shared" si="37"/>
        <v>8</v>
      </c>
      <c r="BK52" s="4">
        <f t="shared" si="37"/>
        <v>8</v>
      </c>
      <c r="BL52" s="4">
        <f t="shared" si="37"/>
        <v>24</v>
      </c>
      <c r="BM52" s="4">
        <f t="shared" si="37"/>
        <v>8</v>
      </c>
      <c r="BN52" s="4">
        <f t="shared" si="37"/>
        <v>7</v>
      </c>
    </row>
    <row r="53" spans="1:66" x14ac:dyDescent="0.25">
      <c r="A53" t="s">
        <v>325</v>
      </c>
      <c r="Y53" t="s">
        <v>353</v>
      </c>
      <c r="AA53">
        <f>C$2+AA51</f>
        <v>69</v>
      </c>
      <c r="AB53">
        <f t="shared" ref="AB53:AE53" si="38">D$2+AB51</f>
        <v>40</v>
      </c>
      <c r="AC53">
        <f t="shared" si="38"/>
        <v>15</v>
      </c>
      <c r="AD53">
        <f t="shared" si="38"/>
        <v>35</v>
      </c>
      <c r="AE53">
        <f t="shared" si="38"/>
        <v>29</v>
      </c>
      <c r="AH53">
        <f>C$3+AH51</f>
        <v>38</v>
      </c>
      <c r="AI53">
        <f t="shared" ref="AI53:AL53" si="39">D$3+AI51</f>
        <v>42</v>
      </c>
      <c r="AJ53">
        <f t="shared" si="39"/>
        <v>32</v>
      </c>
      <c r="AK53">
        <f t="shared" si="39"/>
        <v>21</v>
      </c>
      <c r="AL53">
        <f t="shared" si="39"/>
        <v>64</v>
      </c>
      <c r="AO53">
        <f>C$4+AO51</f>
        <v>29</v>
      </c>
      <c r="AP53">
        <f t="shared" ref="AP53:AS53" si="40">D$4+AP51</f>
        <v>30</v>
      </c>
      <c r="AQ53">
        <f t="shared" si="40"/>
        <v>25</v>
      </c>
      <c r="AR53">
        <f t="shared" si="40"/>
        <v>69</v>
      </c>
      <c r="AS53">
        <f t="shared" si="40"/>
        <v>35</v>
      </c>
      <c r="AV53">
        <f>C$5+AV51</f>
        <v>35</v>
      </c>
      <c r="AW53">
        <f t="shared" ref="AW53:AZ53" si="41">D$5+AW51</f>
        <v>27</v>
      </c>
      <c r="AX53">
        <f t="shared" si="41"/>
        <v>34</v>
      </c>
      <c r="AY53">
        <f t="shared" si="41"/>
        <v>27</v>
      </c>
      <c r="AZ53">
        <f t="shared" si="41"/>
        <v>30</v>
      </c>
      <c r="BC53">
        <f>C$6+BC51</f>
        <v>19</v>
      </c>
      <c r="BD53">
        <f t="shared" ref="BD53:BG53" si="42">D$6+BD51</f>
        <v>28</v>
      </c>
      <c r="BE53">
        <f t="shared" si="42"/>
        <v>49</v>
      </c>
      <c r="BF53">
        <f t="shared" si="42"/>
        <v>20</v>
      </c>
      <c r="BG53">
        <f t="shared" si="42"/>
        <v>30</v>
      </c>
      <c r="BJ53">
        <f>C$7+BJ51</f>
        <v>18</v>
      </c>
      <c r="BK53">
        <f t="shared" ref="BK53:BN53" si="43">D$7+BK51</f>
        <v>14</v>
      </c>
      <c r="BL53">
        <f t="shared" si="43"/>
        <v>64</v>
      </c>
      <c r="BM53">
        <f t="shared" si="43"/>
        <v>24</v>
      </c>
      <c r="BN53">
        <f t="shared" si="43"/>
        <v>19</v>
      </c>
    </row>
    <row r="54" spans="1:66" x14ac:dyDescent="0.25">
      <c r="A54" t="s">
        <v>324</v>
      </c>
      <c r="Y54" t="s">
        <v>356</v>
      </c>
      <c r="AA54">
        <f>C$2+AA52</f>
        <v>44</v>
      </c>
      <c r="AB54">
        <f t="shared" ref="AB54:AE54" si="44">D$2+AB52</f>
        <v>27</v>
      </c>
      <c r="AC54">
        <f t="shared" si="44"/>
        <v>9</v>
      </c>
      <c r="AD54">
        <f t="shared" si="44"/>
        <v>26</v>
      </c>
      <c r="AE54">
        <f t="shared" si="44"/>
        <v>21</v>
      </c>
      <c r="AH54">
        <f>C$3+AH52</f>
        <v>24</v>
      </c>
      <c r="AI54">
        <f t="shared" ref="AI54:AL54" si="45">D$3+AI52</f>
        <v>24</v>
      </c>
      <c r="AJ54">
        <f t="shared" si="45"/>
        <v>24</v>
      </c>
      <c r="AK54">
        <f t="shared" si="45"/>
        <v>13</v>
      </c>
      <c r="AL54">
        <f t="shared" si="45"/>
        <v>39</v>
      </c>
      <c r="AO54">
        <f>C$4+AO52</f>
        <v>17</v>
      </c>
      <c r="AP54">
        <f t="shared" ref="AP54:AS54" si="46">D$4+AP52</f>
        <v>17</v>
      </c>
      <c r="AQ54">
        <f t="shared" si="46"/>
        <v>13</v>
      </c>
      <c r="AR54">
        <f t="shared" si="46"/>
        <v>44</v>
      </c>
      <c r="AS54">
        <f t="shared" si="46"/>
        <v>21</v>
      </c>
      <c r="AV54">
        <f>C$5+AV52</f>
        <v>22</v>
      </c>
      <c r="AW54">
        <f t="shared" ref="AW54:AZ54" si="47">D$5+AW52</f>
        <v>19</v>
      </c>
      <c r="AX54">
        <f t="shared" si="47"/>
        <v>22</v>
      </c>
      <c r="AY54">
        <f t="shared" si="47"/>
        <v>18</v>
      </c>
      <c r="AZ54">
        <f t="shared" si="47"/>
        <v>18</v>
      </c>
      <c r="BC54">
        <f>C$6+BC52</f>
        <v>11</v>
      </c>
      <c r="BD54">
        <f t="shared" ref="BD54:BG54" si="48">D$6+BD52</f>
        <v>19</v>
      </c>
      <c r="BE54">
        <f t="shared" si="48"/>
        <v>44</v>
      </c>
      <c r="BF54">
        <f t="shared" si="48"/>
        <v>12</v>
      </c>
      <c r="BG54">
        <f t="shared" si="48"/>
        <v>21</v>
      </c>
      <c r="BJ54">
        <f>C$7+BJ52</f>
        <v>13</v>
      </c>
      <c r="BK54">
        <f t="shared" ref="BK54:BN54" si="49">D$7+BK52</f>
        <v>9</v>
      </c>
      <c r="BL54">
        <f t="shared" si="49"/>
        <v>39</v>
      </c>
      <c r="BM54">
        <f t="shared" si="49"/>
        <v>18</v>
      </c>
      <c r="BN54">
        <f t="shared" si="49"/>
        <v>12</v>
      </c>
    </row>
    <row r="55" spans="1:66" x14ac:dyDescent="0.25">
      <c r="A55" t="s">
        <v>326</v>
      </c>
      <c r="Y55" t="s">
        <v>354</v>
      </c>
      <c r="AA55">
        <f>C$2+AA51 + (49-AA51)*1/8</f>
        <v>69</v>
      </c>
      <c r="AB55">
        <f t="shared" ref="AB55:AE55" si="50">D$2+AB51 + (49-AB51)*1/8</f>
        <v>41.75</v>
      </c>
      <c r="AC55">
        <f t="shared" si="50"/>
        <v>19.375</v>
      </c>
      <c r="AD55">
        <f t="shared" si="50"/>
        <v>38</v>
      </c>
      <c r="AE55">
        <f t="shared" si="50"/>
        <v>32.125</v>
      </c>
      <c r="AH55">
        <f>C$3+AH51 + (49-AH51)*1/8</f>
        <v>40</v>
      </c>
      <c r="AI55">
        <f t="shared" ref="AI55:AL55" si="51">D$3+AI51 + (49-AI51)*1/8</f>
        <v>44.125</v>
      </c>
      <c r="AJ55">
        <f t="shared" si="51"/>
        <v>36</v>
      </c>
      <c r="AK55">
        <f t="shared" si="51"/>
        <v>25.125</v>
      </c>
      <c r="AL55">
        <f t="shared" si="51"/>
        <v>64</v>
      </c>
      <c r="AO55">
        <f>C$4+AO51 + (49-AO51)*1/8</f>
        <v>32.125</v>
      </c>
      <c r="AP55">
        <f t="shared" ref="AP55:AS55" si="52">D$4+AP51 + (49-AP51)*1/8</f>
        <v>33</v>
      </c>
      <c r="AQ55">
        <f t="shared" si="52"/>
        <v>28.125</v>
      </c>
      <c r="AR55">
        <f t="shared" si="52"/>
        <v>69</v>
      </c>
      <c r="AS55">
        <f t="shared" si="52"/>
        <v>37.375</v>
      </c>
      <c r="AV55">
        <f>C$5+AV51 + (49-AV51)*1/8</f>
        <v>38</v>
      </c>
      <c r="AW55">
        <f t="shared" ref="AW55:AZ55" si="53">D$5+AW51 + (49-AW51)*1/8</f>
        <v>31</v>
      </c>
      <c r="AX55">
        <f t="shared" si="53"/>
        <v>37.125</v>
      </c>
      <c r="AY55">
        <f t="shared" si="53"/>
        <v>30.375</v>
      </c>
      <c r="AZ55">
        <f t="shared" si="53"/>
        <v>33</v>
      </c>
      <c r="BC55">
        <f>C$6+BC51 + (49-BC51)*1/8</f>
        <v>22.875</v>
      </c>
      <c r="BD55">
        <f t="shared" ref="BD55:BG55" si="54">D$6+BD51 + (49-BD51)*1/8</f>
        <v>31.875</v>
      </c>
      <c r="BE55">
        <f t="shared" si="54"/>
        <v>51.5</v>
      </c>
      <c r="BF55">
        <f t="shared" si="54"/>
        <v>23.75</v>
      </c>
      <c r="BG55">
        <f t="shared" si="54"/>
        <v>33.625</v>
      </c>
      <c r="BJ55">
        <f>C$7+BJ51 + (49-BJ51)*1/8</f>
        <v>22.5</v>
      </c>
      <c r="BK55">
        <f t="shared" ref="BK55:BN55" si="55">D$7+BK51 + (49-BK51)*1/8</f>
        <v>18.5</v>
      </c>
      <c r="BL55">
        <f t="shared" si="55"/>
        <v>64</v>
      </c>
      <c r="BM55">
        <f t="shared" si="55"/>
        <v>28.375</v>
      </c>
      <c r="BN55">
        <f t="shared" si="55"/>
        <v>23.375</v>
      </c>
    </row>
    <row r="56" spans="1:66" x14ac:dyDescent="0.25">
      <c r="A56" t="s">
        <v>327</v>
      </c>
      <c r="Y56" t="s">
        <v>355</v>
      </c>
      <c r="AA56">
        <f>C$2+AA52 + (24-AA52)*1/8</f>
        <v>44</v>
      </c>
      <c r="AB56">
        <f t="shared" ref="AB56:AE56" si="56">D$2+AB52 + (24-AB52)*1/8</f>
        <v>27.25</v>
      </c>
      <c r="AC56">
        <f t="shared" si="56"/>
        <v>11</v>
      </c>
      <c r="AD56">
        <f t="shared" si="56"/>
        <v>27</v>
      </c>
      <c r="AE56">
        <f t="shared" si="56"/>
        <v>22</v>
      </c>
      <c r="AH56">
        <f>C$3+AH52 + (24-AH52)*1/8</f>
        <v>24.625</v>
      </c>
      <c r="AI56">
        <f t="shared" ref="AI56:AL56" si="57">D$3+AI52 + (24-AI52)*1/8</f>
        <v>25.25</v>
      </c>
      <c r="AJ56">
        <f t="shared" si="57"/>
        <v>25.875</v>
      </c>
      <c r="AK56">
        <f t="shared" si="57"/>
        <v>15</v>
      </c>
      <c r="AL56">
        <f t="shared" si="57"/>
        <v>39</v>
      </c>
      <c r="AO56">
        <f>C$4+AO52 + (24-AO52)*1/8</f>
        <v>18.5</v>
      </c>
      <c r="AP56">
        <f t="shared" ref="AP56:AS56" si="58">D$4+AP52 + (24-AP52)*1/8</f>
        <v>18.5</v>
      </c>
      <c r="AQ56">
        <f t="shared" si="58"/>
        <v>14.5</v>
      </c>
      <c r="AR56">
        <f t="shared" si="58"/>
        <v>44</v>
      </c>
      <c r="AS56">
        <f t="shared" si="58"/>
        <v>22</v>
      </c>
      <c r="AV56">
        <f>C$5+AV52 + (24-AV52)*1/8</f>
        <v>23.5</v>
      </c>
      <c r="AW56">
        <f t="shared" ref="AW56:AZ56" si="59">D$5+AW52 + (24-AW52)*1/8</f>
        <v>20.875</v>
      </c>
      <c r="AX56">
        <f t="shared" si="59"/>
        <v>23.5</v>
      </c>
      <c r="AY56">
        <f t="shared" si="59"/>
        <v>19.375</v>
      </c>
      <c r="AZ56">
        <f t="shared" si="59"/>
        <v>19.375</v>
      </c>
      <c r="BC56">
        <f>C$6+BC52 + (24-BC52)*1/8</f>
        <v>12.75</v>
      </c>
      <c r="BD56">
        <f t="shared" ref="BD56:BG56" si="60">D$6+BD52 + (24-BD52)*1/8</f>
        <v>20.875</v>
      </c>
      <c r="BE56">
        <f t="shared" si="60"/>
        <v>44</v>
      </c>
      <c r="BF56">
        <f t="shared" si="60"/>
        <v>13.625</v>
      </c>
      <c r="BG56">
        <f t="shared" si="60"/>
        <v>22.625</v>
      </c>
      <c r="BJ56">
        <f>C$7+BJ52 + (24-BJ52)*1/8</f>
        <v>15</v>
      </c>
      <c r="BK56">
        <f t="shared" ref="BK56:BN56" si="61">D$7+BK52 + (24-BK52)*1/8</f>
        <v>11</v>
      </c>
      <c r="BL56">
        <f t="shared" si="61"/>
        <v>39</v>
      </c>
      <c r="BM56">
        <f t="shared" si="61"/>
        <v>20</v>
      </c>
      <c r="BN56">
        <f t="shared" si="61"/>
        <v>14.125</v>
      </c>
    </row>
    <row r="57" spans="1:66" x14ac:dyDescent="0.25">
      <c r="A57" t="s">
        <v>328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70E3-B8E7-4CF9-B2E7-8FC65399C4B7}">
  <dimension ref="A1:X31"/>
  <sheetViews>
    <sheetView workbookViewId="0">
      <selection activeCell="B39" sqref="B39"/>
    </sheetView>
  </sheetViews>
  <sheetFormatPr baseColWidth="10" defaultRowHeight="15" x14ac:dyDescent="0.25"/>
  <sheetData>
    <row r="1" spans="1:24" x14ac:dyDescent="0.25">
      <c r="A1" t="s">
        <v>6</v>
      </c>
      <c r="D1" t="s">
        <v>18</v>
      </c>
      <c r="G1" t="s">
        <v>17</v>
      </c>
      <c r="J1" t="s">
        <v>55</v>
      </c>
      <c r="M1" t="s">
        <v>56</v>
      </c>
      <c r="P1" t="s">
        <v>62</v>
      </c>
      <c r="S1" t="s">
        <v>76</v>
      </c>
      <c r="W1" t="s">
        <v>92</v>
      </c>
    </row>
    <row r="2" spans="1:24" x14ac:dyDescent="0.25">
      <c r="A2">
        <v>1</v>
      </c>
      <c r="B2" t="s">
        <v>7</v>
      </c>
      <c r="D2">
        <v>1</v>
      </c>
      <c r="E2" t="s">
        <v>34</v>
      </c>
      <c r="G2">
        <v>1</v>
      </c>
      <c r="H2" t="s">
        <v>39</v>
      </c>
      <c r="J2">
        <v>1</v>
      </c>
      <c r="K2" t="s">
        <v>47</v>
      </c>
      <c r="M2">
        <v>1</v>
      </c>
      <c r="N2" t="s">
        <v>57</v>
      </c>
      <c r="P2">
        <v>1</v>
      </c>
      <c r="Q2" t="s">
        <v>63</v>
      </c>
      <c r="S2">
        <v>1</v>
      </c>
      <c r="T2" t="s">
        <v>77</v>
      </c>
      <c r="W2">
        <v>1</v>
      </c>
      <c r="X2" t="s">
        <v>93</v>
      </c>
    </row>
    <row r="3" spans="1:24" x14ac:dyDescent="0.25">
      <c r="A3">
        <v>2</v>
      </c>
      <c r="B3" t="s">
        <v>8</v>
      </c>
      <c r="D3">
        <v>2</v>
      </c>
      <c r="E3" t="s">
        <v>35</v>
      </c>
      <c r="G3">
        <v>2</v>
      </c>
      <c r="H3" t="s">
        <v>43</v>
      </c>
      <c r="J3">
        <v>2</v>
      </c>
      <c r="K3" t="s">
        <v>48</v>
      </c>
      <c r="M3">
        <v>2</v>
      </c>
      <c r="N3" t="s">
        <v>58</v>
      </c>
      <c r="P3">
        <v>2</v>
      </c>
      <c r="Q3" t="s">
        <v>64</v>
      </c>
      <c r="S3">
        <v>2</v>
      </c>
      <c r="T3" t="s">
        <v>78</v>
      </c>
      <c r="W3">
        <v>2</v>
      </c>
      <c r="X3" t="s">
        <v>94</v>
      </c>
    </row>
    <row r="4" spans="1:24" x14ac:dyDescent="0.25">
      <c r="A4">
        <v>3</v>
      </c>
      <c r="B4" t="s">
        <v>9</v>
      </c>
      <c r="D4">
        <v>3</v>
      </c>
      <c r="E4" t="s">
        <v>36</v>
      </c>
      <c r="G4">
        <v>3</v>
      </c>
      <c r="H4" t="s">
        <v>44</v>
      </c>
      <c r="J4">
        <v>3</v>
      </c>
      <c r="K4" t="s">
        <v>49</v>
      </c>
      <c r="M4">
        <v>3</v>
      </c>
      <c r="N4" t="s">
        <v>59</v>
      </c>
      <c r="P4">
        <v>3</v>
      </c>
      <c r="Q4" t="s">
        <v>65</v>
      </c>
      <c r="S4">
        <v>3</v>
      </c>
      <c r="T4" t="s">
        <v>79</v>
      </c>
      <c r="W4">
        <v>3</v>
      </c>
      <c r="X4" t="s">
        <v>95</v>
      </c>
    </row>
    <row r="5" spans="1:24" x14ac:dyDescent="0.25">
      <c r="A5">
        <v>4</v>
      </c>
      <c r="B5" t="s">
        <v>10</v>
      </c>
      <c r="D5">
        <v>4</v>
      </c>
      <c r="E5" t="s">
        <v>37</v>
      </c>
      <c r="G5">
        <v>4</v>
      </c>
      <c r="H5" t="s">
        <v>45</v>
      </c>
      <c r="J5">
        <v>4</v>
      </c>
      <c r="K5" t="s">
        <v>50</v>
      </c>
      <c r="M5">
        <v>4</v>
      </c>
      <c r="N5" t="s">
        <v>60</v>
      </c>
      <c r="P5">
        <v>4</v>
      </c>
      <c r="Q5" t="s">
        <v>66</v>
      </c>
      <c r="S5">
        <v>4</v>
      </c>
      <c r="T5" t="s">
        <v>80</v>
      </c>
      <c r="W5">
        <v>4</v>
      </c>
      <c r="X5" t="s">
        <v>96</v>
      </c>
    </row>
    <row r="6" spans="1:24" x14ac:dyDescent="0.25">
      <c r="A6">
        <v>5</v>
      </c>
      <c r="B6" t="s">
        <v>11</v>
      </c>
      <c r="D6">
        <v>5</v>
      </c>
      <c r="E6" t="s">
        <v>38</v>
      </c>
      <c r="G6">
        <v>5</v>
      </c>
      <c r="H6" t="s">
        <v>46</v>
      </c>
      <c r="J6">
        <v>5</v>
      </c>
      <c r="K6" t="s">
        <v>51</v>
      </c>
      <c r="M6">
        <v>5</v>
      </c>
      <c r="N6" t="s">
        <v>61</v>
      </c>
      <c r="P6">
        <v>5</v>
      </c>
      <c r="Q6" t="s">
        <v>88</v>
      </c>
      <c r="S6">
        <v>5</v>
      </c>
      <c r="T6" t="s">
        <v>81</v>
      </c>
      <c r="U6" t="s">
        <v>83</v>
      </c>
      <c r="W6">
        <v>5</v>
      </c>
      <c r="X6" t="s">
        <v>97</v>
      </c>
    </row>
    <row r="7" spans="1:24" x14ac:dyDescent="0.25">
      <c r="A7">
        <v>6</v>
      </c>
      <c r="B7" t="s">
        <v>12</v>
      </c>
      <c r="D7">
        <v>6</v>
      </c>
      <c r="E7" t="s">
        <v>39</v>
      </c>
      <c r="G7">
        <v>6</v>
      </c>
      <c r="H7" t="s">
        <v>207</v>
      </c>
      <c r="J7">
        <v>6</v>
      </c>
      <c r="K7" t="s">
        <v>53</v>
      </c>
      <c r="M7">
        <v>6</v>
      </c>
      <c r="P7">
        <v>6</v>
      </c>
      <c r="S7">
        <v>6</v>
      </c>
      <c r="T7" t="s">
        <v>82</v>
      </c>
      <c r="W7">
        <v>6</v>
      </c>
      <c r="X7" t="s">
        <v>98</v>
      </c>
    </row>
    <row r="8" spans="1:24" x14ac:dyDescent="0.25">
      <c r="A8">
        <v>7</v>
      </c>
      <c r="B8" t="s">
        <v>13</v>
      </c>
      <c r="D8">
        <v>7</v>
      </c>
      <c r="E8" t="s">
        <v>40</v>
      </c>
      <c r="G8">
        <v>7</v>
      </c>
      <c r="H8" t="s">
        <v>52</v>
      </c>
      <c r="J8">
        <v>7</v>
      </c>
      <c r="K8" t="s">
        <v>54</v>
      </c>
      <c r="M8">
        <v>7</v>
      </c>
      <c r="P8">
        <v>7</v>
      </c>
      <c r="S8">
        <v>7</v>
      </c>
      <c r="T8" t="s">
        <v>84</v>
      </c>
      <c r="W8">
        <v>7</v>
      </c>
      <c r="X8" t="s">
        <v>99</v>
      </c>
    </row>
    <row r="9" spans="1:24" x14ac:dyDescent="0.25">
      <c r="A9">
        <v>8</v>
      </c>
      <c r="B9" t="s">
        <v>14</v>
      </c>
      <c r="D9">
        <v>8</v>
      </c>
      <c r="E9" t="s">
        <v>17</v>
      </c>
      <c r="G9">
        <v>8</v>
      </c>
      <c r="H9" t="s">
        <v>40</v>
      </c>
      <c r="J9">
        <v>8</v>
      </c>
      <c r="K9" t="s">
        <v>357</v>
      </c>
      <c r="M9">
        <v>8</v>
      </c>
      <c r="P9">
        <v>8</v>
      </c>
      <c r="S9">
        <v>8</v>
      </c>
      <c r="T9" t="s">
        <v>85</v>
      </c>
      <c r="W9">
        <v>8</v>
      </c>
      <c r="X9" t="s">
        <v>100</v>
      </c>
    </row>
    <row r="10" spans="1:24" x14ac:dyDescent="0.25">
      <c r="A10">
        <v>9</v>
      </c>
      <c r="B10" t="s">
        <v>15</v>
      </c>
      <c r="D10">
        <v>9</v>
      </c>
      <c r="E10" t="s">
        <v>41</v>
      </c>
      <c r="G10">
        <v>9</v>
      </c>
      <c r="H10" t="s">
        <v>214</v>
      </c>
      <c r="S10">
        <v>9</v>
      </c>
      <c r="T10" t="s">
        <v>86</v>
      </c>
    </row>
    <row r="11" spans="1:24" x14ac:dyDescent="0.25">
      <c r="A11">
        <v>10</v>
      </c>
      <c r="B11" t="s">
        <v>16</v>
      </c>
      <c r="D11">
        <v>10</v>
      </c>
      <c r="E11" t="s">
        <v>42</v>
      </c>
      <c r="G11">
        <v>10</v>
      </c>
      <c r="H11" t="s">
        <v>205</v>
      </c>
      <c r="S11">
        <v>10</v>
      </c>
      <c r="T11" t="s">
        <v>89</v>
      </c>
    </row>
    <row r="12" spans="1:24" x14ac:dyDescent="0.25">
      <c r="A12">
        <v>11</v>
      </c>
      <c r="B12" t="s">
        <v>20</v>
      </c>
      <c r="S12">
        <v>11</v>
      </c>
      <c r="T12" t="s">
        <v>101</v>
      </c>
    </row>
    <row r="13" spans="1:24" x14ac:dyDescent="0.25">
      <c r="A13">
        <v>12</v>
      </c>
      <c r="B13" t="s">
        <v>21</v>
      </c>
      <c r="S13">
        <v>12</v>
      </c>
    </row>
    <row r="14" spans="1:24" x14ac:dyDescent="0.25">
      <c r="A14">
        <v>13</v>
      </c>
      <c r="B14" t="s">
        <v>22</v>
      </c>
      <c r="S14">
        <v>13</v>
      </c>
    </row>
    <row r="15" spans="1:24" x14ac:dyDescent="0.25">
      <c r="A15">
        <v>14</v>
      </c>
      <c r="B15" t="s">
        <v>23</v>
      </c>
      <c r="I15" t="s">
        <v>221</v>
      </c>
      <c r="S15">
        <v>14</v>
      </c>
    </row>
    <row r="16" spans="1:24" x14ac:dyDescent="0.25">
      <c r="A16">
        <v>15</v>
      </c>
      <c r="B16" t="s">
        <v>24</v>
      </c>
      <c r="S16">
        <v>15</v>
      </c>
    </row>
    <row r="17" spans="1:24" x14ac:dyDescent="0.25">
      <c r="A17">
        <v>16</v>
      </c>
      <c r="B17" t="s">
        <v>25</v>
      </c>
      <c r="S17">
        <v>16</v>
      </c>
    </row>
    <row r="18" spans="1:24" x14ac:dyDescent="0.25">
      <c r="A18">
        <v>17</v>
      </c>
      <c r="B18" t="s">
        <v>27</v>
      </c>
      <c r="S18" t="s">
        <v>148</v>
      </c>
    </row>
    <row r="19" spans="1:24" x14ac:dyDescent="0.25">
      <c r="A19">
        <v>18</v>
      </c>
      <c r="B19" t="s">
        <v>26</v>
      </c>
    </row>
    <row r="20" spans="1:24" x14ac:dyDescent="0.25">
      <c r="A20">
        <v>19</v>
      </c>
      <c r="B20" t="s">
        <v>28</v>
      </c>
      <c r="N20" t="s">
        <v>338</v>
      </c>
    </row>
    <row r="21" spans="1:24" x14ac:dyDescent="0.25">
      <c r="A21">
        <v>20</v>
      </c>
      <c r="B21" t="s">
        <v>29</v>
      </c>
      <c r="N21">
        <v>1</v>
      </c>
      <c r="O21" t="s">
        <v>332</v>
      </c>
    </row>
    <row r="22" spans="1:24" x14ac:dyDescent="0.25">
      <c r="A22">
        <v>21</v>
      </c>
      <c r="B22" t="s">
        <v>30</v>
      </c>
      <c r="G22" t="s">
        <v>137</v>
      </c>
      <c r="N22">
        <v>2</v>
      </c>
      <c r="O22" t="s">
        <v>339</v>
      </c>
      <c r="V22" t="s">
        <v>143</v>
      </c>
    </row>
    <row r="23" spans="1:24" x14ac:dyDescent="0.25">
      <c r="A23">
        <v>22</v>
      </c>
      <c r="B23" t="s">
        <v>31</v>
      </c>
      <c r="G23">
        <v>1</v>
      </c>
      <c r="H23" t="s">
        <v>66</v>
      </c>
      <c r="N23">
        <v>3</v>
      </c>
      <c r="V23">
        <v>1</v>
      </c>
      <c r="W23" t="s">
        <v>145</v>
      </c>
      <c r="X23" t="s">
        <v>156</v>
      </c>
    </row>
    <row r="24" spans="1:24" x14ac:dyDescent="0.25">
      <c r="A24">
        <v>23</v>
      </c>
      <c r="B24" t="s">
        <v>32</v>
      </c>
      <c r="G24">
        <v>2</v>
      </c>
      <c r="H24" t="s">
        <v>88</v>
      </c>
      <c r="N24">
        <v>4</v>
      </c>
      <c r="V24">
        <v>2</v>
      </c>
      <c r="W24" t="s">
        <v>142</v>
      </c>
      <c r="X24" t="s">
        <v>166</v>
      </c>
    </row>
    <row r="25" spans="1:24" x14ac:dyDescent="0.25">
      <c r="A25">
        <v>24</v>
      </c>
      <c r="B25" t="s">
        <v>33</v>
      </c>
      <c r="G25">
        <v>3</v>
      </c>
      <c r="H25" t="s">
        <v>138</v>
      </c>
      <c r="N25">
        <v>5</v>
      </c>
      <c r="V25">
        <v>3</v>
      </c>
      <c r="W25" t="s">
        <v>144</v>
      </c>
    </row>
    <row r="26" spans="1:24" x14ac:dyDescent="0.25">
      <c r="G26">
        <v>4</v>
      </c>
      <c r="H26" t="s">
        <v>17</v>
      </c>
      <c r="N26">
        <v>6</v>
      </c>
      <c r="V26">
        <v>4</v>
      </c>
      <c r="W26" t="s">
        <v>146</v>
      </c>
    </row>
    <row r="27" spans="1:24" x14ac:dyDescent="0.25">
      <c r="G27">
        <v>5</v>
      </c>
      <c r="H27" t="s">
        <v>63</v>
      </c>
      <c r="N27">
        <v>7</v>
      </c>
      <c r="V27">
        <v>5</v>
      </c>
      <c r="W27" t="s">
        <v>216</v>
      </c>
    </row>
    <row r="28" spans="1:24" x14ac:dyDescent="0.25">
      <c r="G28">
        <v>6</v>
      </c>
      <c r="H28" t="s">
        <v>64</v>
      </c>
      <c r="N28">
        <v>8</v>
      </c>
      <c r="V28">
        <v>6</v>
      </c>
      <c r="W28" t="s">
        <v>40</v>
      </c>
      <c r="X28" t="s">
        <v>220</v>
      </c>
    </row>
    <row r="29" spans="1:24" x14ac:dyDescent="0.25">
      <c r="G29">
        <v>7</v>
      </c>
      <c r="H29" t="s">
        <v>170</v>
      </c>
    </row>
    <row r="30" spans="1:24" x14ac:dyDescent="0.25">
      <c r="G30">
        <v>8</v>
      </c>
      <c r="H30" t="s">
        <v>175</v>
      </c>
    </row>
    <row r="31" spans="1:24" x14ac:dyDescent="0.25">
      <c r="G31">
        <v>9</v>
      </c>
      <c r="H31" t="s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65CC-A47E-484F-BF59-36C9046208E4}">
  <dimension ref="A1:C51"/>
  <sheetViews>
    <sheetView workbookViewId="0">
      <selection activeCell="H56" sqref="H56"/>
    </sheetView>
  </sheetViews>
  <sheetFormatPr baseColWidth="10" defaultRowHeight="15" x14ac:dyDescent="0.25"/>
  <sheetData>
    <row r="1" spans="1:3" x14ac:dyDescent="0.25">
      <c r="A1" t="s">
        <v>102</v>
      </c>
      <c r="B1" t="s">
        <v>103</v>
      </c>
      <c r="C1" t="s">
        <v>104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2</v>
      </c>
      <c r="B3">
        <f>SUM(C$2:C3)</f>
        <v>40</v>
      </c>
      <c r="C3">
        <v>40</v>
      </c>
    </row>
    <row r="4" spans="1:3" x14ac:dyDescent="0.25">
      <c r="A4">
        <v>3</v>
      </c>
      <c r="B4">
        <f>SUM(C$2:C4)</f>
        <v>196</v>
      </c>
      <c r="C4">
        <f>39*(A3*A3)</f>
        <v>156</v>
      </c>
    </row>
    <row r="5" spans="1:3" x14ac:dyDescent="0.25">
      <c r="A5">
        <v>4</v>
      </c>
      <c r="B5">
        <f>SUM(C$2:C5)</f>
        <v>547</v>
      </c>
      <c r="C5">
        <f t="shared" ref="C5:C31" si="0">39*(A4*A4)</f>
        <v>351</v>
      </c>
    </row>
    <row r="6" spans="1:3" x14ac:dyDescent="0.25">
      <c r="A6">
        <v>5</v>
      </c>
      <c r="B6">
        <f>SUM(C$2:C6)</f>
        <v>1171</v>
      </c>
      <c r="C6">
        <f t="shared" si="0"/>
        <v>624</v>
      </c>
    </row>
    <row r="7" spans="1:3" x14ac:dyDescent="0.25">
      <c r="A7">
        <v>6</v>
      </c>
      <c r="B7">
        <f>SUM(C$2:C7)</f>
        <v>2146</v>
      </c>
      <c r="C7">
        <f t="shared" si="0"/>
        <v>975</v>
      </c>
    </row>
    <row r="8" spans="1:3" x14ac:dyDescent="0.25">
      <c r="A8">
        <v>7</v>
      </c>
      <c r="B8">
        <f>SUM(C$2:C8)</f>
        <v>3550</v>
      </c>
      <c r="C8">
        <f t="shared" si="0"/>
        <v>1404</v>
      </c>
    </row>
    <row r="9" spans="1:3" x14ac:dyDescent="0.25">
      <c r="A9">
        <v>8</v>
      </c>
      <c r="B9">
        <f>SUM(C$2:C9)</f>
        <v>5461</v>
      </c>
      <c r="C9">
        <f t="shared" si="0"/>
        <v>1911</v>
      </c>
    </row>
    <row r="10" spans="1:3" x14ac:dyDescent="0.25">
      <c r="A10">
        <v>9</v>
      </c>
      <c r="B10">
        <f>SUM(C$2:C10)</f>
        <v>7957</v>
      </c>
      <c r="C10">
        <f t="shared" si="0"/>
        <v>2496</v>
      </c>
    </row>
    <row r="11" spans="1:3" x14ac:dyDescent="0.25">
      <c r="A11">
        <v>10</v>
      </c>
      <c r="B11">
        <f>SUM(C$2:C11)</f>
        <v>11116</v>
      </c>
      <c r="C11">
        <f t="shared" si="0"/>
        <v>3159</v>
      </c>
    </row>
    <row r="12" spans="1:3" x14ac:dyDescent="0.25">
      <c r="A12">
        <v>11</v>
      </c>
      <c r="B12">
        <f>SUM(C$2:C12)</f>
        <v>15016</v>
      </c>
      <c r="C12">
        <f t="shared" si="0"/>
        <v>3900</v>
      </c>
    </row>
    <row r="13" spans="1:3" x14ac:dyDescent="0.25">
      <c r="A13">
        <v>12</v>
      </c>
      <c r="B13">
        <f>SUM(C$2:C13)</f>
        <v>19735</v>
      </c>
      <c r="C13">
        <f t="shared" si="0"/>
        <v>4719</v>
      </c>
    </row>
    <row r="14" spans="1:3" x14ac:dyDescent="0.25">
      <c r="A14">
        <v>13</v>
      </c>
      <c r="B14">
        <f>SUM(C$2:C14)</f>
        <v>25351</v>
      </c>
      <c r="C14">
        <f t="shared" si="0"/>
        <v>5616</v>
      </c>
    </row>
    <row r="15" spans="1:3" x14ac:dyDescent="0.25">
      <c r="A15">
        <v>14</v>
      </c>
      <c r="B15">
        <f>SUM(C$2:C15)</f>
        <v>31942</v>
      </c>
      <c r="C15">
        <f t="shared" si="0"/>
        <v>6591</v>
      </c>
    </row>
    <row r="16" spans="1:3" x14ac:dyDescent="0.25">
      <c r="A16">
        <v>15</v>
      </c>
      <c r="B16">
        <f>SUM(C$2:C16)</f>
        <v>39586</v>
      </c>
      <c r="C16">
        <f t="shared" si="0"/>
        <v>7644</v>
      </c>
    </row>
    <row r="17" spans="1:3" x14ac:dyDescent="0.25">
      <c r="A17">
        <v>16</v>
      </c>
      <c r="B17">
        <f>SUM(C$2:C17)</f>
        <v>48361</v>
      </c>
      <c r="C17">
        <f t="shared" si="0"/>
        <v>8775</v>
      </c>
    </row>
    <row r="18" spans="1:3" x14ac:dyDescent="0.25">
      <c r="A18">
        <v>17</v>
      </c>
      <c r="B18">
        <f>SUM(C$2:C18)</f>
        <v>58345</v>
      </c>
      <c r="C18">
        <f t="shared" si="0"/>
        <v>9984</v>
      </c>
    </row>
    <row r="19" spans="1:3" x14ac:dyDescent="0.25">
      <c r="A19">
        <v>18</v>
      </c>
      <c r="B19">
        <f>SUM(C$2:C19)</f>
        <v>69616</v>
      </c>
      <c r="C19">
        <f t="shared" si="0"/>
        <v>11271</v>
      </c>
    </row>
    <row r="20" spans="1:3" x14ac:dyDescent="0.25">
      <c r="A20">
        <v>19</v>
      </c>
      <c r="B20">
        <f>SUM(C$2:C20)</f>
        <v>82252</v>
      </c>
      <c r="C20">
        <f t="shared" si="0"/>
        <v>12636</v>
      </c>
    </row>
    <row r="21" spans="1:3" x14ac:dyDescent="0.25">
      <c r="A21">
        <v>20</v>
      </c>
      <c r="B21">
        <f>SUM(C$2:C21)</f>
        <v>96331</v>
      </c>
      <c r="C21">
        <f t="shared" si="0"/>
        <v>14079</v>
      </c>
    </row>
    <row r="22" spans="1:3" x14ac:dyDescent="0.25">
      <c r="A22">
        <v>21</v>
      </c>
      <c r="B22">
        <f>SUM(C$2:C22)</f>
        <v>111931</v>
      </c>
      <c r="C22">
        <f t="shared" si="0"/>
        <v>15600</v>
      </c>
    </row>
    <row r="23" spans="1:3" x14ac:dyDescent="0.25">
      <c r="A23">
        <v>22</v>
      </c>
      <c r="B23">
        <f>SUM(C$2:C23)</f>
        <v>129130</v>
      </c>
      <c r="C23">
        <f t="shared" si="0"/>
        <v>17199</v>
      </c>
    </row>
    <row r="24" spans="1:3" x14ac:dyDescent="0.25">
      <c r="A24">
        <v>23</v>
      </c>
      <c r="B24">
        <f>SUM(C$2:C24)</f>
        <v>148006</v>
      </c>
      <c r="C24">
        <f t="shared" si="0"/>
        <v>18876</v>
      </c>
    </row>
    <row r="25" spans="1:3" x14ac:dyDescent="0.25">
      <c r="A25">
        <v>24</v>
      </c>
      <c r="B25">
        <f>SUM(C$2:C25)</f>
        <v>168637</v>
      </c>
      <c r="C25">
        <f t="shared" si="0"/>
        <v>20631</v>
      </c>
    </row>
    <row r="26" spans="1:3" x14ac:dyDescent="0.25">
      <c r="A26">
        <v>25</v>
      </c>
      <c r="B26">
        <f>SUM(C$2:C26)</f>
        <v>191101</v>
      </c>
      <c r="C26">
        <f t="shared" si="0"/>
        <v>22464</v>
      </c>
    </row>
    <row r="27" spans="1:3" x14ac:dyDescent="0.25">
      <c r="A27">
        <v>26</v>
      </c>
      <c r="B27">
        <f>SUM(C$2:C27)</f>
        <v>215476</v>
      </c>
      <c r="C27">
        <f t="shared" si="0"/>
        <v>24375</v>
      </c>
    </row>
    <row r="28" spans="1:3" x14ac:dyDescent="0.25">
      <c r="A28">
        <v>27</v>
      </c>
      <c r="B28">
        <f>SUM(C$2:C28)</f>
        <v>241840</v>
      </c>
      <c r="C28">
        <f t="shared" si="0"/>
        <v>26364</v>
      </c>
    </row>
    <row r="29" spans="1:3" x14ac:dyDescent="0.25">
      <c r="A29">
        <v>28</v>
      </c>
      <c r="B29">
        <f>SUM(C$2:C29)</f>
        <v>270271</v>
      </c>
      <c r="C29">
        <f t="shared" si="0"/>
        <v>28431</v>
      </c>
    </row>
    <row r="30" spans="1:3" x14ac:dyDescent="0.25">
      <c r="A30">
        <v>29</v>
      </c>
      <c r="B30">
        <f>SUM(C$2:C30)</f>
        <v>300847</v>
      </c>
      <c r="C30">
        <f t="shared" si="0"/>
        <v>30576</v>
      </c>
    </row>
    <row r="31" spans="1:3" x14ac:dyDescent="0.25">
      <c r="A31">
        <v>30</v>
      </c>
      <c r="B31">
        <f>SUM(C$2:C31)</f>
        <v>333646</v>
      </c>
      <c r="C31">
        <f t="shared" si="0"/>
        <v>32799</v>
      </c>
    </row>
    <row r="32" spans="1:3" x14ac:dyDescent="0.25">
      <c r="A32">
        <v>31</v>
      </c>
      <c r="B32">
        <f>SUM(C$2:C32)</f>
        <v>366546</v>
      </c>
      <c r="C32">
        <f>32900</f>
        <v>32900</v>
      </c>
    </row>
    <row r="33" spans="1:3" x14ac:dyDescent="0.25">
      <c r="A33">
        <v>32</v>
      </c>
      <c r="B33">
        <f>SUM(C$2:C33)</f>
        <v>399546</v>
      </c>
      <c r="C33">
        <f>33000</f>
        <v>33000</v>
      </c>
    </row>
    <row r="34" spans="1:3" x14ac:dyDescent="0.25">
      <c r="A34">
        <v>33</v>
      </c>
      <c r="B34">
        <f>SUM(C$2:C34)</f>
        <v>432646</v>
      </c>
      <c r="C34">
        <f>33100</f>
        <v>33100</v>
      </c>
    </row>
    <row r="35" spans="1:3" x14ac:dyDescent="0.25">
      <c r="A35">
        <v>34</v>
      </c>
      <c r="B35">
        <f>SUM(C$2:C35)</f>
        <v>465846</v>
      </c>
      <c r="C35">
        <f>33200</f>
        <v>33200</v>
      </c>
    </row>
    <row r="36" spans="1:3" x14ac:dyDescent="0.25">
      <c r="A36">
        <v>35</v>
      </c>
      <c r="B36">
        <f>SUM(C$2:C36)</f>
        <v>499046</v>
      </c>
      <c r="C36">
        <f t="shared" ref="C36:C51" si="1">C35</f>
        <v>33200</v>
      </c>
    </row>
    <row r="37" spans="1:3" x14ac:dyDescent="0.25">
      <c r="A37">
        <v>36</v>
      </c>
      <c r="B37">
        <f>SUM(C$2:C37)</f>
        <v>532346</v>
      </c>
      <c r="C37">
        <f>33300</f>
        <v>33300</v>
      </c>
    </row>
    <row r="38" spans="1:3" x14ac:dyDescent="0.25">
      <c r="A38">
        <v>37</v>
      </c>
      <c r="B38">
        <f>SUM(C$2:C38)</f>
        <v>565646</v>
      </c>
      <c r="C38">
        <f t="shared" si="1"/>
        <v>33300</v>
      </c>
    </row>
    <row r="39" spans="1:3" x14ac:dyDescent="0.25">
      <c r="A39">
        <v>38</v>
      </c>
      <c r="B39">
        <f>SUM(C$2:C39)</f>
        <v>599046</v>
      </c>
      <c r="C39">
        <f>33400</f>
        <v>33400</v>
      </c>
    </row>
    <row r="40" spans="1:3" x14ac:dyDescent="0.25">
      <c r="A40">
        <v>39</v>
      </c>
      <c r="B40">
        <f>SUM(C$2:C40)</f>
        <v>632446</v>
      </c>
      <c r="C40">
        <f t="shared" si="1"/>
        <v>33400</v>
      </c>
    </row>
    <row r="41" spans="1:3" x14ac:dyDescent="0.25">
      <c r="A41">
        <v>40</v>
      </c>
      <c r="B41">
        <f>SUM(C$2:C41)</f>
        <v>665856</v>
      </c>
      <c r="C41">
        <f>33410</f>
        <v>33410</v>
      </c>
    </row>
    <row r="42" spans="1:3" x14ac:dyDescent="0.25">
      <c r="A42">
        <v>41</v>
      </c>
      <c r="B42">
        <f>SUM(C$2:C42)</f>
        <v>699267</v>
      </c>
      <c r="C42">
        <f>33411</f>
        <v>33411</v>
      </c>
    </row>
    <row r="43" spans="1:3" x14ac:dyDescent="0.25">
      <c r="A43">
        <v>42</v>
      </c>
      <c r="B43">
        <f>SUM(C$2:C43)</f>
        <v>732678</v>
      </c>
      <c r="C43">
        <f t="shared" si="1"/>
        <v>33411</v>
      </c>
    </row>
    <row r="44" spans="1:3" x14ac:dyDescent="0.25">
      <c r="A44">
        <v>43</v>
      </c>
      <c r="B44">
        <f>SUM(C$2:C44)</f>
        <v>766090</v>
      </c>
      <c r="C44">
        <f>33412</f>
        <v>33412</v>
      </c>
    </row>
    <row r="45" spans="1:3" x14ac:dyDescent="0.25">
      <c r="A45">
        <v>44</v>
      </c>
      <c r="B45">
        <f>SUM(C$2:C45)</f>
        <v>799502</v>
      </c>
      <c r="C45">
        <f t="shared" si="1"/>
        <v>33412</v>
      </c>
    </row>
    <row r="46" spans="1:3" x14ac:dyDescent="0.25">
      <c r="A46">
        <v>45</v>
      </c>
      <c r="B46">
        <f>SUM(C$2:C46)</f>
        <v>832915</v>
      </c>
      <c r="C46">
        <f>33413</f>
        <v>33413</v>
      </c>
    </row>
    <row r="47" spans="1:3" x14ac:dyDescent="0.25">
      <c r="A47">
        <v>46</v>
      </c>
      <c r="B47">
        <f>SUM(C$2:C47)</f>
        <v>866328</v>
      </c>
      <c r="C47">
        <f t="shared" si="1"/>
        <v>33413</v>
      </c>
    </row>
    <row r="48" spans="1:3" x14ac:dyDescent="0.25">
      <c r="A48">
        <v>47</v>
      </c>
      <c r="B48">
        <f>SUM(C$2:C48)</f>
        <v>899746</v>
      </c>
      <c r="C48">
        <f>33418</f>
        <v>33418</v>
      </c>
    </row>
    <row r="49" spans="1:3" x14ac:dyDescent="0.25">
      <c r="A49">
        <v>48</v>
      </c>
      <c r="B49">
        <f>SUM(C$2:C49)</f>
        <v>933164</v>
      </c>
      <c r="C49">
        <f t="shared" si="1"/>
        <v>33418</v>
      </c>
    </row>
    <row r="50" spans="1:3" x14ac:dyDescent="0.25">
      <c r="A50">
        <v>49</v>
      </c>
      <c r="B50">
        <f>SUM(C$2:C50)</f>
        <v>966582</v>
      </c>
      <c r="C50">
        <f t="shared" si="1"/>
        <v>33418</v>
      </c>
    </row>
    <row r="51" spans="1:3" x14ac:dyDescent="0.25">
      <c r="A51">
        <v>50</v>
      </c>
      <c r="B51">
        <f>SUM(C$2:C51)</f>
        <v>1000000</v>
      </c>
      <c r="C51">
        <f t="shared" si="1"/>
        <v>33418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BE22-D8A3-4C2C-A972-2C9C86877BE7}">
  <dimension ref="A1:AL53"/>
  <sheetViews>
    <sheetView topLeftCell="K1" workbookViewId="0">
      <selection activeCell="O3" sqref="O3:AL54"/>
    </sheetView>
  </sheetViews>
  <sheetFormatPr baseColWidth="10" defaultRowHeight="15" x14ac:dyDescent="0.25"/>
  <cols>
    <col min="1" max="9" width="11.140625" bestFit="1" customWidth="1"/>
    <col min="10" max="38" width="12.140625" bestFit="1" customWidth="1"/>
  </cols>
  <sheetData>
    <row r="1" spans="1:38" x14ac:dyDescent="0.25">
      <c r="A1" t="s">
        <v>231</v>
      </c>
      <c r="B1" t="s">
        <v>289</v>
      </c>
      <c r="C1" t="s">
        <v>291</v>
      </c>
      <c r="D1" t="s">
        <v>79</v>
      </c>
      <c r="E1" t="s">
        <v>77</v>
      </c>
      <c r="F1" t="s">
        <v>292</v>
      </c>
      <c r="G1" t="s">
        <v>80</v>
      </c>
      <c r="H1" s="14" t="s">
        <v>290</v>
      </c>
      <c r="I1" s="14" t="s">
        <v>293</v>
      </c>
      <c r="J1" s="14" t="s">
        <v>294</v>
      </c>
      <c r="K1" s="14" t="s">
        <v>295</v>
      </c>
      <c r="L1" s="14" t="s">
        <v>296</v>
      </c>
      <c r="M1" s="14" t="s">
        <v>297</v>
      </c>
      <c r="N1" s="14" t="s">
        <v>322</v>
      </c>
      <c r="O1" s="11" t="s">
        <v>298</v>
      </c>
      <c r="P1" s="11" t="s">
        <v>299</v>
      </c>
      <c r="Q1" s="11" t="s">
        <v>300</v>
      </c>
      <c r="R1" s="11" t="s">
        <v>301</v>
      </c>
      <c r="S1" s="11" t="s">
        <v>302</v>
      </c>
      <c r="T1" s="11" t="s">
        <v>303</v>
      </c>
      <c r="U1" s="8" t="s">
        <v>304</v>
      </c>
      <c r="V1" s="8" t="s">
        <v>305</v>
      </c>
      <c r="W1" s="8" t="s">
        <v>306</v>
      </c>
      <c r="X1" s="8" t="s">
        <v>307</v>
      </c>
      <c r="Y1" s="8" t="s">
        <v>308</v>
      </c>
      <c r="Z1" s="8" t="s">
        <v>309</v>
      </c>
      <c r="AA1" s="5" t="s">
        <v>316</v>
      </c>
      <c r="AB1" s="5" t="s">
        <v>317</v>
      </c>
      <c r="AC1" s="5" t="s">
        <v>318</v>
      </c>
      <c r="AD1" s="5" t="s">
        <v>319</v>
      </c>
      <c r="AE1" s="5" t="s">
        <v>320</v>
      </c>
      <c r="AF1" s="5" t="s">
        <v>321</v>
      </c>
      <c r="AG1" s="2" t="s">
        <v>310</v>
      </c>
      <c r="AH1" s="2" t="s">
        <v>311</v>
      </c>
      <c r="AI1" s="2" t="s">
        <v>312</v>
      </c>
      <c r="AJ1" s="2" t="s">
        <v>313</v>
      </c>
      <c r="AK1" s="2" t="s">
        <v>314</v>
      </c>
      <c r="AL1" s="2" t="s">
        <v>315</v>
      </c>
    </row>
    <row r="2" spans="1:38" x14ac:dyDescent="0.25">
      <c r="A2" s="1" t="s">
        <v>282</v>
      </c>
      <c r="B2" s="17" t="s">
        <v>283</v>
      </c>
      <c r="C2" s="18"/>
      <c r="D2" s="18"/>
      <c r="E2" s="18"/>
      <c r="F2" s="18"/>
      <c r="G2" s="18"/>
      <c r="H2" s="15" t="s">
        <v>284</v>
      </c>
      <c r="I2" s="15" t="s">
        <v>232</v>
      </c>
      <c r="J2" s="15" t="s">
        <v>232</v>
      </c>
      <c r="K2" s="15" t="s">
        <v>232</v>
      </c>
      <c r="L2" s="15" t="s">
        <v>232</v>
      </c>
      <c r="M2" s="15" t="s">
        <v>232</v>
      </c>
      <c r="N2" s="15"/>
      <c r="O2" s="12" t="s">
        <v>285</v>
      </c>
      <c r="P2" s="12" t="s">
        <v>232</v>
      </c>
      <c r="Q2" s="12" t="s">
        <v>232</v>
      </c>
      <c r="R2" s="12" t="s">
        <v>232</v>
      </c>
      <c r="S2" s="12" t="s">
        <v>232</v>
      </c>
      <c r="T2" s="12" t="s">
        <v>232</v>
      </c>
      <c r="U2" s="9" t="s">
        <v>286</v>
      </c>
      <c r="V2" s="9" t="s">
        <v>232</v>
      </c>
      <c r="W2" s="9" t="s">
        <v>232</v>
      </c>
      <c r="X2" s="9" t="s">
        <v>232</v>
      </c>
      <c r="Y2" s="9" t="s">
        <v>232</v>
      </c>
      <c r="Z2" s="9" t="s">
        <v>232</v>
      </c>
      <c r="AA2" s="6" t="s">
        <v>287</v>
      </c>
      <c r="AB2" s="6" t="s">
        <v>232</v>
      </c>
      <c r="AC2" s="6" t="s">
        <v>232</v>
      </c>
      <c r="AD2" s="6" t="s">
        <v>232</v>
      </c>
      <c r="AE2" s="6" t="s">
        <v>232</v>
      </c>
      <c r="AF2" s="6" t="s">
        <v>232</v>
      </c>
      <c r="AG2" s="3" t="s">
        <v>288</v>
      </c>
      <c r="AH2" s="3" t="s">
        <v>232</v>
      </c>
      <c r="AI2" s="3" t="s">
        <v>232</v>
      </c>
      <c r="AJ2" s="3" t="s">
        <v>232</v>
      </c>
      <c r="AK2" s="3" t="s">
        <v>232</v>
      </c>
      <c r="AL2" s="3" t="s">
        <v>232</v>
      </c>
    </row>
    <row r="3" spans="1:38" x14ac:dyDescent="0.25">
      <c r="A3" s="1" t="s">
        <v>233</v>
      </c>
      <c r="B3" s="17" t="s">
        <v>110</v>
      </c>
      <c r="C3" s="17" t="s">
        <v>110</v>
      </c>
      <c r="D3" s="17" t="s">
        <v>110</v>
      </c>
      <c r="E3" s="17"/>
      <c r="F3" s="17" t="s">
        <v>110</v>
      </c>
      <c r="G3" s="17"/>
      <c r="H3" s="15" t="s">
        <v>110</v>
      </c>
      <c r="I3" s="15" t="s">
        <v>110</v>
      </c>
      <c r="J3" s="15" t="s">
        <v>110</v>
      </c>
      <c r="K3" s="15"/>
      <c r="L3" s="15"/>
      <c r="M3" s="15" t="s">
        <v>110</v>
      </c>
      <c r="N3" s="15"/>
      <c r="O3" s="12" t="s">
        <v>110</v>
      </c>
      <c r="P3" s="12"/>
      <c r="Q3" s="12" t="s">
        <v>110</v>
      </c>
      <c r="R3" s="12"/>
      <c r="S3" s="12" t="s">
        <v>110</v>
      </c>
      <c r="T3" s="12" t="s">
        <v>110</v>
      </c>
      <c r="U3" s="9" t="s">
        <v>110</v>
      </c>
      <c r="V3" s="9" t="s">
        <v>110</v>
      </c>
      <c r="W3" s="9"/>
      <c r="X3" s="9"/>
      <c r="Y3" s="9" t="s">
        <v>110</v>
      </c>
      <c r="Z3" s="9" t="s">
        <v>110</v>
      </c>
      <c r="AA3" s="6" t="s">
        <v>110</v>
      </c>
      <c r="AB3" s="6" t="s">
        <v>110</v>
      </c>
      <c r="AC3" s="6" t="s">
        <v>110</v>
      </c>
      <c r="AD3" s="6" t="s">
        <v>110</v>
      </c>
      <c r="AE3" s="6"/>
      <c r="AF3" s="6" t="s">
        <v>110</v>
      </c>
      <c r="AG3" s="3" t="s">
        <v>110</v>
      </c>
      <c r="AH3" s="3"/>
      <c r="AI3" s="3"/>
      <c r="AJ3" s="3" t="s">
        <v>110</v>
      </c>
      <c r="AK3" s="3"/>
      <c r="AL3" s="3"/>
    </row>
    <row r="4" spans="1:38" x14ac:dyDescent="0.25">
      <c r="A4" s="1" t="s">
        <v>234</v>
      </c>
      <c r="B4" s="17" t="s">
        <v>110</v>
      </c>
      <c r="C4" s="17" t="s">
        <v>110</v>
      </c>
      <c r="D4" s="17" t="s">
        <v>110</v>
      </c>
      <c r="E4" s="17"/>
      <c r="F4" s="17" t="s">
        <v>110</v>
      </c>
      <c r="G4" s="17" t="s">
        <v>110</v>
      </c>
      <c r="H4" s="15" t="s">
        <v>110</v>
      </c>
      <c r="I4" s="15" t="s">
        <v>110</v>
      </c>
      <c r="J4" s="15"/>
      <c r="K4" s="15" t="s">
        <v>110</v>
      </c>
      <c r="L4" s="15" t="s">
        <v>110</v>
      </c>
      <c r="M4" s="15" t="s">
        <v>110</v>
      </c>
      <c r="N4" s="15"/>
      <c r="O4" s="12"/>
      <c r="P4" s="12" t="s">
        <v>110</v>
      </c>
      <c r="Q4" s="12"/>
      <c r="R4" s="12" t="s">
        <v>110</v>
      </c>
      <c r="S4" s="12" t="s">
        <v>110</v>
      </c>
      <c r="T4" s="12" t="s">
        <v>110</v>
      </c>
      <c r="U4" s="9"/>
      <c r="V4" s="9"/>
      <c r="W4" s="9" t="s">
        <v>110</v>
      </c>
      <c r="X4" s="9" t="s">
        <v>110</v>
      </c>
      <c r="Y4" s="9" t="s">
        <v>110</v>
      </c>
      <c r="Z4" s="9"/>
      <c r="AA4" s="6"/>
      <c r="AB4" s="6" t="s">
        <v>110</v>
      </c>
      <c r="AC4" s="6" t="s">
        <v>110</v>
      </c>
      <c r="AD4" s="6" t="s">
        <v>110</v>
      </c>
      <c r="AE4" s="6" t="s">
        <v>110</v>
      </c>
      <c r="AF4" s="6"/>
      <c r="AG4" s="3"/>
      <c r="AH4" s="3"/>
      <c r="AI4" s="3" t="s">
        <v>110</v>
      </c>
      <c r="AJ4" s="3" t="s">
        <v>110</v>
      </c>
      <c r="AK4" s="3" t="s">
        <v>110</v>
      </c>
      <c r="AL4" s="3"/>
    </row>
    <row r="5" spans="1:38" x14ac:dyDescent="0.25">
      <c r="A5" s="1" t="s">
        <v>235</v>
      </c>
      <c r="B5" s="17" t="s">
        <v>110</v>
      </c>
      <c r="C5" s="17" t="s">
        <v>110</v>
      </c>
      <c r="D5" s="17" t="s">
        <v>110</v>
      </c>
      <c r="E5" s="17" t="s">
        <v>110</v>
      </c>
      <c r="F5" s="17"/>
      <c r="G5" s="17" t="s">
        <v>110</v>
      </c>
      <c r="H5" s="15" t="s">
        <v>110</v>
      </c>
      <c r="I5" s="15" t="s">
        <v>110</v>
      </c>
      <c r="J5" s="15" t="s">
        <v>110</v>
      </c>
      <c r="K5" s="15"/>
      <c r="L5" s="15"/>
      <c r="M5" s="15" t="s">
        <v>110</v>
      </c>
      <c r="N5" s="15"/>
      <c r="O5" s="12" t="s">
        <v>110</v>
      </c>
      <c r="P5" s="12"/>
      <c r="Q5" s="12" t="s">
        <v>110</v>
      </c>
      <c r="R5" s="12"/>
      <c r="S5" s="12" t="s">
        <v>110</v>
      </c>
      <c r="T5" s="12"/>
      <c r="U5" s="9" t="s">
        <v>110</v>
      </c>
      <c r="V5" s="9" t="s">
        <v>110</v>
      </c>
      <c r="W5" s="9"/>
      <c r="X5" s="9"/>
      <c r="Y5" s="9" t="s">
        <v>110</v>
      </c>
      <c r="Z5" s="9" t="s">
        <v>110</v>
      </c>
      <c r="AA5" s="6" t="s">
        <v>110</v>
      </c>
      <c r="AB5" s="6" t="s">
        <v>110</v>
      </c>
      <c r="AC5" s="6"/>
      <c r="AD5" s="6" t="s">
        <v>110</v>
      </c>
      <c r="AE5" s="6"/>
      <c r="AF5" s="6" t="s">
        <v>110</v>
      </c>
      <c r="AG5" s="3" t="s">
        <v>110</v>
      </c>
      <c r="AH5" s="3" t="s">
        <v>110</v>
      </c>
      <c r="AI5" s="3"/>
      <c r="AJ5" s="3" t="s">
        <v>110</v>
      </c>
      <c r="AK5" s="3"/>
      <c r="AL5" s="3" t="s">
        <v>110</v>
      </c>
    </row>
    <row r="6" spans="1:38" x14ac:dyDescent="0.25">
      <c r="A6" s="1" t="s">
        <v>236</v>
      </c>
      <c r="B6" s="17" t="s">
        <v>110</v>
      </c>
      <c r="C6" s="17" t="s">
        <v>110</v>
      </c>
      <c r="D6" s="17" t="s">
        <v>110</v>
      </c>
      <c r="E6" s="17"/>
      <c r="F6" s="17" t="s">
        <v>110</v>
      </c>
      <c r="G6" s="17"/>
      <c r="H6" s="15" t="s">
        <v>110</v>
      </c>
      <c r="I6" s="15" t="s">
        <v>110</v>
      </c>
      <c r="J6" s="15"/>
      <c r="K6" s="15" t="s">
        <v>110</v>
      </c>
      <c r="L6" s="15"/>
      <c r="M6" s="15" t="s">
        <v>110</v>
      </c>
      <c r="N6" s="15"/>
      <c r="O6" s="12"/>
      <c r="P6" s="12" t="s">
        <v>110</v>
      </c>
      <c r="Q6" s="12"/>
      <c r="R6" s="12" t="s">
        <v>110</v>
      </c>
      <c r="S6" s="12" t="s">
        <v>110</v>
      </c>
      <c r="T6" s="12" t="s">
        <v>110</v>
      </c>
      <c r="U6" s="9"/>
      <c r="V6" s="9"/>
      <c r="W6" s="9" t="s">
        <v>110</v>
      </c>
      <c r="X6" s="9" t="s">
        <v>110</v>
      </c>
      <c r="Y6" s="9" t="s">
        <v>110</v>
      </c>
      <c r="Z6" s="9"/>
      <c r="AA6" s="6"/>
      <c r="AB6" s="6"/>
      <c r="AC6" s="6" t="s">
        <v>110</v>
      </c>
      <c r="AD6" s="6" t="s">
        <v>110</v>
      </c>
      <c r="AE6" s="6" t="s">
        <v>110</v>
      </c>
      <c r="AF6" s="6"/>
      <c r="AG6" s="3"/>
      <c r="AH6" s="3"/>
      <c r="AI6" s="3"/>
      <c r="AJ6" s="3" t="s">
        <v>110</v>
      </c>
      <c r="AK6" s="3" t="s">
        <v>110</v>
      </c>
      <c r="AL6" s="3"/>
    </row>
    <row r="7" spans="1:38" x14ac:dyDescent="0.25">
      <c r="A7" s="1" t="s">
        <v>237</v>
      </c>
      <c r="B7" s="17" t="s">
        <v>110</v>
      </c>
      <c r="C7" s="17" t="s">
        <v>110</v>
      </c>
      <c r="D7" s="17" t="s">
        <v>110</v>
      </c>
      <c r="E7" s="17"/>
      <c r="F7" s="17" t="s">
        <v>110</v>
      </c>
      <c r="G7" s="17" t="s">
        <v>110</v>
      </c>
      <c r="H7" s="15"/>
      <c r="I7" s="15" t="s">
        <v>110</v>
      </c>
      <c r="J7" s="15" t="s">
        <v>110</v>
      </c>
      <c r="K7" s="15"/>
      <c r="L7" s="15" t="s">
        <v>110</v>
      </c>
      <c r="M7" s="15" t="s">
        <v>110</v>
      </c>
      <c r="N7" s="15"/>
      <c r="O7" s="12"/>
      <c r="P7" s="12"/>
      <c r="Q7" s="12" t="s">
        <v>110</v>
      </c>
      <c r="R7" s="12"/>
      <c r="S7" s="12" t="s">
        <v>110</v>
      </c>
      <c r="T7" s="12" t="s">
        <v>110</v>
      </c>
      <c r="U7" s="9" t="s">
        <v>110</v>
      </c>
      <c r="V7" s="9" t="s">
        <v>110</v>
      </c>
      <c r="W7" s="9"/>
      <c r="X7" s="9"/>
      <c r="Y7" s="9" t="s">
        <v>110</v>
      </c>
      <c r="Z7" s="9" t="s">
        <v>110</v>
      </c>
      <c r="AA7" s="6" t="s">
        <v>110</v>
      </c>
      <c r="AB7" s="6"/>
      <c r="AC7" s="6"/>
      <c r="AD7" s="6" t="s">
        <v>110</v>
      </c>
      <c r="AE7" s="6"/>
      <c r="AF7" s="6" t="s">
        <v>110</v>
      </c>
      <c r="AG7" s="3" t="s">
        <v>110</v>
      </c>
      <c r="AH7" s="3"/>
      <c r="AI7" s="3" t="s">
        <v>110</v>
      </c>
      <c r="AJ7" s="3" t="s">
        <v>110</v>
      </c>
      <c r="AK7" s="3"/>
      <c r="AL7" s="3" t="s">
        <v>110</v>
      </c>
    </row>
    <row r="8" spans="1:38" x14ac:dyDescent="0.25">
      <c r="A8" s="1" t="s">
        <v>238</v>
      </c>
      <c r="B8" s="17" t="s">
        <v>110</v>
      </c>
      <c r="C8" s="17" t="s">
        <v>110</v>
      </c>
      <c r="D8" s="17" t="s">
        <v>110</v>
      </c>
      <c r="E8" s="17" t="s">
        <v>110</v>
      </c>
      <c r="F8" s="17"/>
      <c r="G8" s="17" t="s">
        <v>110</v>
      </c>
      <c r="H8" s="15" t="s">
        <v>110</v>
      </c>
      <c r="I8" s="15" t="s">
        <v>110</v>
      </c>
      <c r="J8" s="15"/>
      <c r="K8" s="15" t="s">
        <v>110</v>
      </c>
      <c r="L8" s="15"/>
      <c r="M8" s="15" t="s">
        <v>110</v>
      </c>
      <c r="N8" s="15"/>
      <c r="O8" s="12" t="s">
        <v>110</v>
      </c>
      <c r="P8" s="12" t="s">
        <v>110</v>
      </c>
      <c r="Q8" s="12"/>
      <c r="R8" s="12" t="s">
        <v>110</v>
      </c>
      <c r="S8" s="12" t="s">
        <v>110</v>
      </c>
      <c r="T8" s="12"/>
      <c r="U8" s="9"/>
      <c r="V8" s="9"/>
      <c r="W8" s="9" t="s">
        <v>110</v>
      </c>
      <c r="X8" s="9" t="s">
        <v>110</v>
      </c>
      <c r="Y8" s="9"/>
      <c r="Z8" s="9"/>
      <c r="AA8" s="6"/>
      <c r="AB8" s="6" t="s">
        <v>110</v>
      </c>
      <c r="AC8" s="6"/>
      <c r="AD8" s="6" t="s">
        <v>110</v>
      </c>
      <c r="AE8" s="6" t="s">
        <v>110</v>
      </c>
      <c r="AF8" s="6"/>
      <c r="AG8" s="3"/>
      <c r="AH8" s="3" t="s">
        <v>110</v>
      </c>
      <c r="AI8" s="3"/>
      <c r="AJ8" s="3" t="s">
        <v>110</v>
      </c>
      <c r="AK8" s="3" t="s">
        <v>110</v>
      </c>
      <c r="AL8" s="3"/>
    </row>
    <row r="9" spans="1:38" x14ac:dyDescent="0.25">
      <c r="A9" s="1" t="s">
        <v>239</v>
      </c>
      <c r="B9" s="17" t="s">
        <v>110</v>
      </c>
      <c r="C9" s="17" t="s">
        <v>110</v>
      </c>
      <c r="D9" s="17" t="s">
        <v>110</v>
      </c>
      <c r="E9" s="17"/>
      <c r="F9" s="17" t="s">
        <v>110</v>
      </c>
      <c r="G9" s="17"/>
      <c r="H9" s="15"/>
      <c r="I9" s="15" t="s">
        <v>110</v>
      </c>
      <c r="J9" s="15" t="s">
        <v>110</v>
      </c>
      <c r="K9" s="15"/>
      <c r="L9" s="15"/>
      <c r="M9" s="15" t="s">
        <v>110</v>
      </c>
      <c r="N9" s="15"/>
      <c r="O9" s="12"/>
      <c r="P9" s="12"/>
      <c r="Q9" s="12" t="s">
        <v>110</v>
      </c>
      <c r="R9" s="12"/>
      <c r="S9" s="12" t="s">
        <v>110</v>
      </c>
      <c r="T9" s="12" t="s">
        <v>110</v>
      </c>
      <c r="U9" s="9" t="s">
        <v>110</v>
      </c>
      <c r="V9" s="9" t="s">
        <v>110</v>
      </c>
      <c r="W9" s="9"/>
      <c r="X9" s="9"/>
      <c r="Y9" s="9" t="s">
        <v>110</v>
      </c>
      <c r="Z9" s="9" t="s">
        <v>110</v>
      </c>
      <c r="AA9" s="6" t="s">
        <v>110</v>
      </c>
      <c r="AB9" s="6"/>
      <c r="AC9" s="6" t="s">
        <v>110</v>
      </c>
      <c r="AD9" s="6" t="s">
        <v>110</v>
      </c>
      <c r="AE9" s="6"/>
      <c r="AF9" s="6" t="s">
        <v>110</v>
      </c>
      <c r="AG9" s="3" t="s">
        <v>110</v>
      </c>
      <c r="AH9" s="3"/>
      <c r="AI9" s="3"/>
      <c r="AJ9" s="3" t="s">
        <v>110</v>
      </c>
      <c r="AK9" s="3"/>
      <c r="AL9" s="3" t="s">
        <v>110</v>
      </c>
    </row>
    <row r="10" spans="1:38" x14ac:dyDescent="0.25">
      <c r="A10" s="1" t="s">
        <v>240</v>
      </c>
      <c r="B10" s="17" t="s">
        <v>110</v>
      </c>
      <c r="C10" s="17" t="s">
        <v>110</v>
      </c>
      <c r="D10" s="17" t="s">
        <v>110</v>
      </c>
      <c r="E10" s="17"/>
      <c r="F10" s="17" t="s">
        <v>110</v>
      </c>
      <c r="G10" s="17" t="s">
        <v>110</v>
      </c>
      <c r="H10" s="15" t="s">
        <v>110</v>
      </c>
      <c r="I10" s="15" t="s">
        <v>110</v>
      </c>
      <c r="J10" s="15"/>
      <c r="K10" s="15"/>
      <c r="L10" s="15" t="s">
        <v>110</v>
      </c>
      <c r="M10" s="15" t="s">
        <v>110</v>
      </c>
      <c r="N10" s="15"/>
      <c r="O10" s="12"/>
      <c r="P10" s="12" t="s">
        <v>110</v>
      </c>
      <c r="Q10" s="12"/>
      <c r="R10" s="12" t="s">
        <v>110</v>
      </c>
      <c r="S10" s="12" t="s">
        <v>110</v>
      </c>
      <c r="T10" s="12" t="s">
        <v>110</v>
      </c>
      <c r="U10" s="9" t="s">
        <v>110</v>
      </c>
      <c r="V10" s="9"/>
      <c r="W10" s="9" t="s">
        <v>110</v>
      </c>
      <c r="X10" s="9" t="s">
        <v>110</v>
      </c>
      <c r="Y10" s="9"/>
      <c r="Z10" s="9"/>
      <c r="AA10" s="6"/>
      <c r="AB10" s="6"/>
      <c r="AC10" s="6"/>
      <c r="AD10" s="6" t="s">
        <v>110</v>
      </c>
      <c r="AE10" s="6" t="s">
        <v>110</v>
      </c>
      <c r="AF10" s="6"/>
      <c r="AG10" s="3"/>
      <c r="AH10" s="3"/>
      <c r="AI10" s="3" t="s">
        <v>110</v>
      </c>
      <c r="AJ10" s="3" t="s">
        <v>110</v>
      </c>
      <c r="AK10" s="3" t="s">
        <v>110</v>
      </c>
      <c r="AL10" s="3"/>
    </row>
    <row r="11" spans="1:38" x14ac:dyDescent="0.25">
      <c r="A11" s="1" t="s">
        <v>241</v>
      </c>
      <c r="B11" s="17" t="s">
        <v>110</v>
      </c>
      <c r="C11" s="17" t="s">
        <v>110</v>
      </c>
      <c r="D11" s="17" t="s">
        <v>110</v>
      </c>
      <c r="E11" s="17" t="s">
        <v>110</v>
      </c>
      <c r="F11" s="17"/>
      <c r="G11" s="17" t="s">
        <v>110</v>
      </c>
      <c r="H11" s="15"/>
      <c r="I11" s="15" t="s">
        <v>110</v>
      </c>
      <c r="J11" s="15" t="s">
        <v>110</v>
      </c>
      <c r="K11" s="15" t="s">
        <v>110</v>
      </c>
      <c r="L11" s="15"/>
      <c r="M11" s="15" t="s">
        <v>110</v>
      </c>
      <c r="N11" s="15"/>
      <c r="O11" s="12" t="s">
        <v>110</v>
      </c>
      <c r="P11" s="12"/>
      <c r="Q11" s="12" t="s">
        <v>110</v>
      </c>
      <c r="R11" s="12"/>
      <c r="S11" s="12" t="s">
        <v>110</v>
      </c>
      <c r="T11" s="12"/>
      <c r="U11" s="9" t="s">
        <v>110</v>
      </c>
      <c r="V11" s="9" t="s">
        <v>110</v>
      </c>
      <c r="W11" s="9"/>
      <c r="X11" s="9"/>
      <c r="Y11" s="9"/>
      <c r="Z11" s="9" t="s">
        <v>110</v>
      </c>
      <c r="AA11" s="6" t="s">
        <v>110</v>
      </c>
      <c r="AB11" s="6" t="s">
        <v>110</v>
      </c>
      <c r="AC11" s="6"/>
      <c r="AD11" s="6" t="s">
        <v>110</v>
      </c>
      <c r="AE11" s="6"/>
      <c r="AF11" s="6" t="s">
        <v>110</v>
      </c>
      <c r="AG11" s="3"/>
      <c r="AH11" s="3" t="s">
        <v>110</v>
      </c>
      <c r="AI11" s="3"/>
      <c r="AJ11" s="3" t="s">
        <v>110</v>
      </c>
      <c r="AK11" s="3"/>
      <c r="AL11" s="3" t="s">
        <v>110</v>
      </c>
    </row>
    <row r="12" spans="1:38" x14ac:dyDescent="0.25">
      <c r="A12" s="1" t="s">
        <v>242</v>
      </c>
      <c r="B12" s="17" t="s">
        <v>110</v>
      </c>
      <c r="C12" s="17" t="s">
        <v>110</v>
      </c>
      <c r="D12" s="17" t="s">
        <v>110</v>
      </c>
      <c r="E12" s="17"/>
      <c r="F12" s="17" t="s">
        <v>110</v>
      </c>
      <c r="G12" s="17"/>
      <c r="H12" s="15" t="s">
        <v>110</v>
      </c>
      <c r="I12" s="15"/>
      <c r="J12" s="15"/>
      <c r="K12" s="15"/>
      <c r="L12" s="15"/>
      <c r="M12" s="15" t="s">
        <v>110</v>
      </c>
      <c r="N12" s="15"/>
      <c r="O12" s="12"/>
      <c r="P12" s="12" t="s">
        <v>110</v>
      </c>
      <c r="Q12" s="12"/>
      <c r="R12" s="12" t="s">
        <v>110</v>
      </c>
      <c r="S12" s="12" t="s">
        <v>110</v>
      </c>
      <c r="T12" s="12" t="s">
        <v>110</v>
      </c>
      <c r="U12" s="9"/>
      <c r="V12" s="9"/>
      <c r="W12" s="9"/>
      <c r="X12" s="9" t="s">
        <v>110</v>
      </c>
      <c r="Y12" s="9" t="s">
        <v>110</v>
      </c>
      <c r="Z12" s="9"/>
      <c r="AA12" s="6"/>
      <c r="AB12" s="6"/>
      <c r="AC12" s="6" t="s">
        <v>110</v>
      </c>
      <c r="AD12" s="6" t="s">
        <v>110</v>
      </c>
      <c r="AE12" s="6" t="s">
        <v>110</v>
      </c>
      <c r="AF12" s="6"/>
      <c r="AG12" s="3" t="s">
        <v>110</v>
      </c>
      <c r="AH12" s="3"/>
      <c r="AI12" s="3"/>
      <c r="AJ12" s="3" t="s">
        <v>110</v>
      </c>
      <c r="AK12" s="3"/>
      <c r="AL12" s="3"/>
    </row>
    <row r="13" spans="1:38" x14ac:dyDescent="0.25">
      <c r="A13" s="1" t="s">
        <v>243</v>
      </c>
      <c r="B13" s="17"/>
      <c r="C13" s="17" t="s">
        <v>110</v>
      </c>
      <c r="D13" s="17" t="s">
        <v>110</v>
      </c>
      <c r="E13" s="17"/>
      <c r="F13" s="17" t="s">
        <v>110</v>
      </c>
      <c r="G13" s="17" t="s">
        <v>110</v>
      </c>
      <c r="H13" s="15"/>
      <c r="I13" s="15" t="s">
        <v>110</v>
      </c>
      <c r="J13" s="15" t="s">
        <v>110</v>
      </c>
      <c r="K13" s="15"/>
      <c r="L13" s="15" t="s">
        <v>110</v>
      </c>
      <c r="M13" s="15" t="s">
        <v>110</v>
      </c>
      <c r="N13" s="15"/>
      <c r="O13" s="12"/>
      <c r="P13" s="12"/>
      <c r="Q13" s="12" t="s">
        <v>110</v>
      </c>
      <c r="R13" s="12"/>
      <c r="S13" s="12" t="s">
        <v>110</v>
      </c>
      <c r="T13" s="12" t="s">
        <v>110</v>
      </c>
      <c r="U13" s="9" t="s">
        <v>110</v>
      </c>
      <c r="V13" s="9" t="s">
        <v>110</v>
      </c>
      <c r="W13" s="9" t="s">
        <v>110</v>
      </c>
      <c r="X13" s="9"/>
      <c r="Y13" s="9"/>
      <c r="Z13" s="9" t="s">
        <v>110</v>
      </c>
      <c r="AA13" s="6" t="s">
        <v>110</v>
      </c>
      <c r="AB13" s="6"/>
      <c r="AC13" s="6"/>
      <c r="AD13" s="6" t="s">
        <v>110</v>
      </c>
      <c r="AE13" s="6"/>
      <c r="AF13" s="6" t="s">
        <v>110</v>
      </c>
      <c r="AG13" s="3"/>
      <c r="AH13" s="3"/>
      <c r="AI13" s="3" t="s">
        <v>110</v>
      </c>
      <c r="AJ13" s="3" t="s">
        <v>110</v>
      </c>
      <c r="AK13" s="3" t="s">
        <v>110</v>
      </c>
      <c r="AL13" s="3"/>
    </row>
    <row r="14" spans="1:38" x14ac:dyDescent="0.25">
      <c r="A14" s="1" t="s">
        <v>244</v>
      </c>
      <c r="B14" s="17" t="s">
        <v>110</v>
      </c>
      <c r="C14" s="17" t="s">
        <v>110</v>
      </c>
      <c r="D14" s="17" t="s">
        <v>110</v>
      </c>
      <c r="E14" s="17" t="s">
        <v>110</v>
      </c>
      <c r="F14" s="17"/>
      <c r="G14" s="17" t="s">
        <v>110</v>
      </c>
      <c r="H14" s="15" t="s">
        <v>110</v>
      </c>
      <c r="I14" s="15" t="s">
        <v>110</v>
      </c>
      <c r="J14" s="15"/>
      <c r="K14" s="15" t="s">
        <v>110</v>
      </c>
      <c r="L14" s="15"/>
      <c r="M14" s="15" t="s">
        <v>110</v>
      </c>
      <c r="N14" s="15"/>
      <c r="O14" s="12" t="s">
        <v>110</v>
      </c>
      <c r="P14" s="12" t="s">
        <v>110</v>
      </c>
      <c r="Q14" s="12"/>
      <c r="R14" s="12" t="s">
        <v>110</v>
      </c>
      <c r="S14" s="12" t="s">
        <v>110</v>
      </c>
      <c r="T14" s="12"/>
      <c r="U14" s="9"/>
      <c r="V14" s="9"/>
      <c r="W14" s="9"/>
      <c r="X14" s="9" t="s">
        <v>110</v>
      </c>
      <c r="Y14" s="9" t="s">
        <v>110</v>
      </c>
      <c r="Z14" s="9" t="s">
        <v>110</v>
      </c>
      <c r="AA14" s="6"/>
      <c r="AB14" s="6" t="s">
        <v>110</v>
      </c>
      <c r="AC14" s="6"/>
      <c r="AD14" s="6" t="s">
        <v>110</v>
      </c>
      <c r="AE14" s="6" t="s">
        <v>110</v>
      </c>
      <c r="AF14" s="6"/>
      <c r="AG14" s="3"/>
      <c r="AH14" s="3" t="s">
        <v>110</v>
      </c>
      <c r="AI14" s="3"/>
      <c r="AJ14" s="3" t="s">
        <v>110</v>
      </c>
      <c r="AK14" s="3"/>
      <c r="AL14" s="3"/>
    </row>
    <row r="15" spans="1:38" x14ac:dyDescent="0.25">
      <c r="A15" s="1" t="s">
        <v>245</v>
      </c>
      <c r="B15" s="17" t="s">
        <v>110</v>
      </c>
      <c r="C15" s="17" t="s">
        <v>110</v>
      </c>
      <c r="D15" s="17" t="s">
        <v>110</v>
      </c>
      <c r="E15" s="17"/>
      <c r="F15" s="17" t="s">
        <v>110</v>
      </c>
      <c r="G15" s="17"/>
      <c r="H15" s="15"/>
      <c r="I15" s="15"/>
      <c r="J15" s="15" t="s">
        <v>110</v>
      </c>
      <c r="K15" s="15"/>
      <c r="L15" s="15"/>
      <c r="M15" s="15" t="s">
        <v>110</v>
      </c>
      <c r="N15" s="15"/>
      <c r="O15" s="12"/>
      <c r="P15" s="12"/>
      <c r="Q15" s="12" t="s">
        <v>110</v>
      </c>
      <c r="R15" s="12"/>
      <c r="S15" s="12" t="s">
        <v>110</v>
      </c>
      <c r="T15" s="12" t="s">
        <v>110</v>
      </c>
      <c r="U15" s="9" t="s">
        <v>110</v>
      </c>
      <c r="V15" s="9" t="s">
        <v>110</v>
      </c>
      <c r="W15" s="9"/>
      <c r="X15" s="9"/>
      <c r="Y15" s="9"/>
      <c r="Z15" s="9"/>
      <c r="AA15" s="6" t="s">
        <v>110</v>
      </c>
      <c r="AB15" s="6"/>
      <c r="AC15" s="6" t="s">
        <v>110</v>
      </c>
      <c r="AD15" s="6" t="s">
        <v>110</v>
      </c>
      <c r="AE15" s="6"/>
      <c r="AF15" s="6" t="s">
        <v>110</v>
      </c>
      <c r="AG15" s="3" t="s">
        <v>110</v>
      </c>
      <c r="AH15" s="3"/>
      <c r="AI15" s="3"/>
      <c r="AJ15" s="3" t="s">
        <v>110</v>
      </c>
      <c r="AK15" s="3"/>
      <c r="AL15" s="3" t="s">
        <v>110</v>
      </c>
    </row>
    <row r="16" spans="1:38" x14ac:dyDescent="0.25">
      <c r="A16" s="1" t="s">
        <v>246</v>
      </c>
      <c r="B16" s="17"/>
      <c r="C16" s="17" t="s">
        <v>110</v>
      </c>
      <c r="D16" s="17" t="s">
        <v>110</v>
      </c>
      <c r="E16" s="17"/>
      <c r="F16" s="17" t="s">
        <v>110</v>
      </c>
      <c r="G16" s="17" t="s">
        <v>110</v>
      </c>
      <c r="H16" s="15" t="s">
        <v>110</v>
      </c>
      <c r="I16" s="15" t="s">
        <v>110</v>
      </c>
      <c r="J16" s="15"/>
      <c r="K16" s="15"/>
      <c r="L16" s="15" t="s">
        <v>110</v>
      </c>
      <c r="M16" s="15" t="s">
        <v>110</v>
      </c>
      <c r="N16" s="15"/>
      <c r="O16" s="12"/>
      <c r="P16" s="12" t="s">
        <v>110</v>
      </c>
      <c r="Q16" s="12"/>
      <c r="R16" s="12" t="s">
        <v>110</v>
      </c>
      <c r="S16" s="12" t="s">
        <v>110</v>
      </c>
      <c r="T16" s="12" t="s">
        <v>110</v>
      </c>
      <c r="U16" s="9"/>
      <c r="V16" s="9"/>
      <c r="W16" s="9" t="s">
        <v>110</v>
      </c>
      <c r="X16" s="9" t="s">
        <v>110</v>
      </c>
      <c r="Y16" s="9" t="s">
        <v>110</v>
      </c>
      <c r="Z16" s="9" t="s">
        <v>110</v>
      </c>
      <c r="AA16" s="6"/>
      <c r="AB16" s="6"/>
      <c r="AC16" s="6"/>
      <c r="AD16" s="6" t="s">
        <v>110</v>
      </c>
      <c r="AE16" s="6" t="s">
        <v>110</v>
      </c>
      <c r="AF16" s="6"/>
      <c r="AG16" s="3"/>
      <c r="AH16" s="3"/>
      <c r="AI16" s="3" t="s">
        <v>110</v>
      </c>
      <c r="AJ16" s="3" t="s">
        <v>110</v>
      </c>
      <c r="AK16" s="3"/>
      <c r="AL16" s="3"/>
    </row>
    <row r="17" spans="1:38" x14ac:dyDescent="0.25">
      <c r="A17" s="1" t="s">
        <v>247</v>
      </c>
      <c r="B17" s="17" t="s">
        <v>110</v>
      </c>
      <c r="C17" s="17" t="s">
        <v>110</v>
      </c>
      <c r="D17" s="17" t="s">
        <v>110</v>
      </c>
      <c r="E17" s="17" t="s">
        <v>110</v>
      </c>
      <c r="F17" s="17"/>
      <c r="G17" s="17" t="s">
        <v>110</v>
      </c>
      <c r="H17" s="15"/>
      <c r="I17" s="15" t="s">
        <v>110</v>
      </c>
      <c r="J17" s="15" t="s">
        <v>110</v>
      </c>
      <c r="K17" s="15" t="s">
        <v>110</v>
      </c>
      <c r="L17" s="15"/>
      <c r="M17" s="15" t="s">
        <v>110</v>
      </c>
      <c r="N17" s="15"/>
      <c r="O17" s="12" t="s">
        <v>110</v>
      </c>
      <c r="P17" s="12"/>
      <c r="Q17" s="12" t="s">
        <v>110</v>
      </c>
      <c r="R17" s="12"/>
      <c r="S17" s="12" t="s">
        <v>110</v>
      </c>
      <c r="T17" s="12"/>
      <c r="U17" s="9" t="s">
        <v>110</v>
      </c>
      <c r="V17" s="9" t="s">
        <v>110</v>
      </c>
      <c r="W17" s="9"/>
      <c r="X17" s="9"/>
      <c r="Y17" s="9"/>
      <c r="Z17" s="9" t="s">
        <v>110</v>
      </c>
      <c r="AA17" s="6"/>
      <c r="AB17" s="6" t="s">
        <v>110</v>
      </c>
      <c r="AC17" s="6"/>
      <c r="AD17" s="6" t="s">
        <v>110</v>
      </c>
      <c r="AE17" s="6"/>
      <c r="AF17" s="6" t="s">
        <v>110</v>
      </c>
      <c r="AG17" s="3"/>
      <c r="AH17" s="3" t="s">
        <v>110</v>
      </c>
      <c r="AI17" s="3"/>
      <c r="AJ17" s="3" t="s">
        <v>110</v>
      </c>
      <c r="AK17" s="3" t="s">
        <v>110</v>
      </c>
      <c r="AL17" s="3"/>
    </row>
    <row r="18" spans="1:38" x14ac:dyDescent="0.25">
      <c r="A18" s="1" t="s">
        <v>248</v>
      </c>
      <c r="B18" s="17" t="s">
        <v>110</v>
      </c>
      <c r="C18" s="17" t="s">
        <v>110</v>
      </c>
      <c r="D18" s="17" t="s">
        <v>110</v>
      </c>
      <c r="E18" s="17"/>
      <c r="F18" s="17" t="s">
        <v>110</v>
      </c>
      <c r="G18" s="17"/>
      <c r="H18" s="15"/>
      <c r="I18" s="15"/>
      <c r="J18" s="15" t="s">
        <v>110</v>
      </c>
      <c r="K18" s="15"/>
      <c r="L18" s="15"/>
      <c r="M18" s="15" t="s">
        <v>110</v>
      </c>
      <c r="N18" s="15"/>
      <c r="O18" s="12" t="s">
        <v>110</v>
      </c>
      <c r="P18" s="12" t="s">
        <v>110</v>
      </c>
      <c r="Q18" s="12"/>
      <c r="R18" s="12" t="s">
        <v>110</v>
      </c>
      <c r="S18" s="12" t="s">
        <v>110</v>
      </c>
      <c r="T18" s="12" t="s">
        <v>110</v>
      </c>
      <c r="U18" s="9" t="s">
        <v>110</v>
      </c>
      <c r="V18" s="9"/>
      <c r="W18" s="9"/>
      <c r="X18" s="9" t="s">
        <v>110</v>
      </c>
      <c r="Y18" s="9" t="s">
        <v>110</v>
      </c>
      <c r="Z18" s="9"/>
      <c r="AA18" s="6" t="s">
        <v>110</v>
      </c>
      <c r="AB18" s="6"/>
      <c r="AC18" s="6" t="s">
        <v>110</v>
      </c>
      <c r="AD18" s="6" t="s">
        <v>110</v>
      </c>
      <c r="AE18" s="6" t="s">
        <v>110</v>
      </c>
      <c r="AF18" s="6"/>
      <c r="AG18" s="3"/>
      <c r="AH18" s="3"/>
      <c r="AI18" s="3"/>
      <c r="AJ18" s="3" t="s">
        <v>110</v>
      </c>
      <c r="AK18" s="3"/>
      <c r="AL18" s="3"/>
    </row>
    <row r="19" spans="1:38" x14ac:dyDescent="0.25">
      <c r="A19" s="1" t="s">
        <v>249</v>
      </c>
      <c r="B19" s="17"/>
      <c r="C19" s="17" t="s">
        <v>110</v>
      </c>
      <c r="D19" s="17" t="s">
        <v>110</v>
      </c>
      <c r="E19" s="17"/>
      <c r="F19" s="17" t="s">
        <v>110</v>
      </c>
      <c r="G19" s="17" t="s">
        <v>110</v>
      </c>
      <c r="H19" s="15" t="s">
        <v>110</v>
      </c>
      <c r="I19" s="15" t="s">
        <v>110</v>
      </c>
      <c r="J19" s="15"/>
      <c r="K19" s="15"/>
      <c r="L19" s="15" t="s">
        <v>110</v>
      </c>
      <c r="M19" s="15" t="s">
        <v>110</v>
      </c>
      <c r="N19" s="15"/>
      <c r="O19" s="12"/>
      <c r="P19" s="12"/>
      <c r="Q19" s="12" t="s">
        <v>110</v>
      </c>
      <c r="R19" s="12"/>
      <c r="S19" s="12" t="s">
        <v>110</v>
      </c>
      <c r="T19" s="12" t="s">
        <v>110</v>
      </c>
      <c r="U19" s="9"/>
      <c r="V19" s="9" t="s">
        <v>110</v>
      </c>
      <c r="W19" s="9" t="s">
        <v>110</v>
      </c>
      <c r="X19" s="9"/>
      <c r="Y19" s="9"/>
      <c r="Z19" s="9"/>
      <c r="AA19" s="6"/>
      <c r="AB19" s="6"/>
      <c r="AC19" s="6"/>
      <c r="AD19" s="6" t="s">
        <v>110</v>
      </c>
      <c r="AE19" s="6"/>
      <c r="AF19" s="6" t="s">
        <v>110</v>
      </c>
      <c r="AG19" s="3" t="s">
        <v>110</v>
      </c>
      <c r="AH19" s="3"/>
      <c r="AI19" s="3" t="s">
        <v>110</v>
      </c>
      <c r="AJ19" s="3" t="s">
        <v>110</v>
      </c>
      <c r="AK19" s="3"/>
      <c r="AL19" s="3" t="s">
        <v>110</v>
      </c>
    </row>
    <row r="20" spans="1:38" x14ac:dyDescent="0.25">
      <c r="A20" s="1" t="s">
        <v>250</v>
      </c>
      <c r="B20" s="17" t="s">
        <v>110</v>
      </c>
      <c r="C20" s="17" t="s">
        <v>110</v>
      </c>
      <c r="D20" s="17" t="s">
        <v>110</v>
      </c>
      <c r="E20" s="17" t="s">
        <v>110</v>
      </c>
      <c r="F20" s="17"/>
      <c r="G20" s="17" t="s">
        <v>110</v>
      </c>
      <c r="H20" s="15"/>
      <c r="I20" s="15" t="s">
        <v>110</v>
      </c>
      <c r="J20" s="15" t="s">
        <v>110</v>
      </c>
      <c r="K20" s="15" t="s">
        <v>110</v>
      </c>
      <c r="L20" s="15"/>
      <c r="M20" s="15" t="s">
        <v>110</v>
      </c>
      <c r="N20" s="15"/>
      <c r="O20" s="12" t="s">
        <v>110</v>
      </c>
      <c r="P20" s="12" t="s">
        <v>110</v>
      </c>
      <c r="Q20" s="12"/>
      <c r="R20" s="12" t="s">
        <v>110</v>
      </c>
      <c r="S20" s="12" t="s">
        <v>110</v>
      </c>
      <c r="T20" s="12"/>
      <c r="U20" s="9"/>
      <c r="V20" s="9"/>
      <c r="W20" s="9"/>
      <c r="X20" s="9" t="s">
        <v>110</v>
      </c>
      <c r="Y20" s="9" t="s">
        <v>110</v>
      </c>
      <c r="Z20" s="9" t="s">
        <v>110</v>
      </c>
      <c r="AA20" s="6"/>
      <c r="AB20" s="6" t="s">
        <v>110</v>
      </c>
      <c r="AC20" s="6"/>
      <c r="AD20" s="6" t="s">
        <v>110</v>
      </c>
      <c r="AE20" s="6" t="s">
        <v>110</v>
      </c>
      <c r="AF20" s="6"/>
      <c r="AG20" s="3"/>
      <c r="AH20" s="3" t="s">
        <v>110</v>
      </c>
      <c r="AI20" s="3"/>
      <c r="AJ20" s="3" t="s">
        <v>110</v>
      </c>
      <c r="AK20" s="3"/>
      <c r="AL20" s="3"/>
    </row>
    <row r="21" spans="1:38" x14ac:dyDescent="0.25">
      <c r="A21" s="1" t="s">
        <v>251</v>
      </c>
      <c r="B21" s="17" t="s">
        <v>110</v>
      </c>
      <c r="C21" s="17" t="s">
        <v>110</v>
      </c>
      <c r="D21" s="17" t="s">
        <v>110</v>
      </c>
      <c r="E21" s="17"/>
      <c r="F21" s="17" t="s">
        <v>110</v>
      </c>
      <c r="G21" s="17"/>
      <c r="H21" s="15"/>
      <c r="I21" s="15"/>
      <c r="J21" s="15" t="s">
        <v>110</v>
      </c>
      <c r="K21" s="15"/>
      <c r="L21" s="15"/>
      <c r="M21" s="15" t="s">
        <v>110</v>
      </c>
      <c r="N21" s="15"/>
      <c r="O21" s="12"/>
      <c r="P21" s="12"/>
      <c r="Q21" s="12" t="s">
        <v>110</v>
      </c>
      <c r="R21" s="12"/>
      <c r="S21" s="12" t="s">
        <v>110</v>
      </c>
      <c r="T21" s="12" t="s">
        <v>110</v>
      </c>
      <c r="U21" s="9"/>
      <c r="V21" s="9" t="s">
        <v>110</v>
      </c>
      <c r="W21" s="9"/>
      <c r="X21" s="9"/>
      <c r="Y21" s="9"/>
      <c r="Z21" s="9" t="s">
        <v>110</v>
      </c>
      <c r="AA21" s="6" t="s">
        <v>110</v>
      </c>
      <c r="AB21" s="6"/>
      <c r="AC21" s="6" t="s">
        <v>110</v>
      </c>
      <c r="AD21" s="6" t="s">
        <v>110</v>
      </c>
      <c r="AE21" s="6"/>
      <c r="AF21" s="6" t="s">
        <v>110</v>
      </c>
      <c r="AG21" s="3"/>
      <c r="AH21" s="3"/>
      <c r="AI21" s="3"/>
      <c r="AJ21" s="3" t="s">
        <v>110</v>
      </c>
      <c r="AK21" s="3" t="s">
        <v>110</v>
      </c>
      <c r="AL21" s="3"/>
    </row>
    <row r="22" spans="1:38" x14ac:dyDescent="0.25">
      <c r="A22" s="1" t="s">
        <v>252</v>
      </c>
      <c r="B22" s="17"/>
      <c r="C22" s="17" t="s">
        <v>110</v>
      </c>
      <c r="D22" s="17"/>
      <c r="E22" s="17"/>
      <c r="F22" s="17" t="s">
        <v>110</v>
      </c>
      <c r="G22" s="17" t="s">
        <v>110</v>
      </c>
      <c r="H22" s="15" t="s">
        <v>110</v>
      </c>
      <c r="I22" s="15" t="s">
        <v>110</v>
      </c>
      <c r="J22" s="15"/>
      <c r="K22" s="15"/>
      <c r="L22" s="15" t="s">
        <v>110</v>
      </c>
      <c r="M22" s="15" t="s">
        <v>110</v>
      </c>
      <c r="N22" s="15"/>
      <c r="O22" s="12"/>
      <c r="P22" s="12" t="s">
        <v>110</v>
      </c>
      <c r="Q22" s="12"/>
      <c r="R22" s="12" t="s">
        <v>110</v>
      </c>
      <c r="S22" s="12" t="s">
        <v>110</v>
      </c>
      <c r="T22" s="12" t="s">
        <v>110</v>
      </c>
      <c r="U22" s="9"/>
      <c r="V22" s="9"/>
      <c r="W22" s="9" t="s">
        <v>110</v>
      </c>
      <c r="X22" s="9" t="s">
        <v>110</v>
      </c>
      <c r="Y22" s="9" t="s">
        <v>110</v>
      </c>
      <c r="Z22" s="9"/>
      <c r="AA22" s="6"/>
      <c r="AB22" s="6"/>
      <c r="AC22" s="6"/>
      <c r="AD22" s="6" t="s">
        <v>110</v>
      </c>
      <c r="AE22" s="6" t="s">
        <v>110</v>
      </c>
      <c r="AF22" s="6"/>
      <c r="AG22" s="3"/>
      <c r="AH22" s="3"/>
      <c r="AI22" s="3" t="s">
        <v>110</v>
      </c>
      <c r="AJ22" s="3" t="s">
        <v>110</v>
      </c>
      <c r="AK22" s="3"/>
      <c r="AL22" s="3"/>
    </row>
    <row r="23" spans="1:38" x14ac:dyDescent="0.25">
      <c r="A23" s="1" t="s">
        <v>253</v>
      </c>
      <c r="B23" s="17" t="s">
        <v>110</v>
      </c>
      <c r="C23" s="17" t="s">
        <v>110</v>
      </c>
      <c r="D23" s="17" t="s">
        <v>110</v>
      </c>
      <c r="E23" s="17" t="s">
        <v>110</v>
      </c>
      <c r="F23" s="17"/>
      <c r="G23" s="17" t="s">
        <v>110</v>
      </c>
      <c r="H23" s="15"/>
      <c r="I23" s="15" t="s">
        <v>110</v>
      </c>
      <c r="J23" s="15" t="s">
        <v>110</v>
      </c>
      <c r="K23" s="15" t="s">
        <v>110</v>
      </c>
      <c r="L23" s="15"/>
      <c r="M23" s="15" t="s">
        <v>110</v>
      </c>
      <c r="N23" s="15"/>
      <c r="O23" s="12" t="s">
        <v>110</v>
      </c>
      <c r="P23" s="12"/>
      <c r="Q23" s="12" t="s">
        <v>110</v>
      </c>
      <c r="R23" s="12"/>
      <c r="S23" s="12" t="s">
        <v>110</v>
      </c>
      <c r="T23" s="12"/>
      <c r="U23" s="9"/>
      <c r="V23" s="9" t="s">
        <v>110</v>
      </c>
      <c r="W23" s="9"/>
      <c r="X23" s="9"/>
      <c r="Y23" s="9"/>
      <c r="Z23" s="9"/>
      <c r="AA23" s="6"/>
      <c r="AB23" s="6" t="s">
        <v>110</v>
      </c>
      <c r="AC23" s="6"/>
      <c r="AD23" s="6" t="s">
        <v>110</v>
      </c>
      <c r="AE23" s="6"/>
      <c r="AF23" s="6"/>
      <c r="AG23" s="3" t="s">
        <v>110</v>
      </c>
      <c r="AH23" s="3" t="s">
        <v>110</v>
      </c>
      <c r="AI23" s="3"/>
      <c r="AJ23" s="3" t="s">
        <v>110</v>
      </c>
      <c r="AK23" s="3"/>
      <c r="AL23" s="3" t="s">
        <v>110</v>
      </c>
    </row>
    <row r="24" spans="1:38" x14ac:dyDescent="0.25">
      <c r="A24" s="1" t="s">
        <v>254</v>
      </c>
      <c r="B24" s="17" t="s">
        <v>110</v>
      </c>
      <c r="C24" s="17" t="s">
        <v>110</v>
      </c>
      <c r="D24" s="17" t="s">
        <v>110</v>
      </c>
      <c r="E24" s="17"/>
      <c r="F24" s="17" t="s">
        <v>110</v>
      </c>
      <c r="G24" s="17"/>
      <c r="H24" s="15"/>
      <c r="I24" s="15"/>
      <c r="J24" s="15" t="s">
        <v>110</v>
      </c>
      <c r="K24" s="15"/>
      <c r="L24" s="15"/>
      <c r="M24" s="15" t="s">
        <v>110</v>
      </c>
      <c r="N24" s="15"/>
      <c r="O24" s="12"/>
      <c r="P24" s="12" t="s">
        <v>110</v>
      </c>
      <c r="Q24" s="12"/>
      <c r="R24" s="12" t="s">
        <v>110</v>
      </c>
      <c r="S24" s="12" t="s">
        <v>110</v>
      </c>
      <c r="T24" s="12" t="s">
        <v>110</v>
      </c>
      <c r="U24" s="9"/>
      <c r="V24" s="9"/>
      <c r="W24" s="9"/>
      <c r="X24" s="9" t="s">
        <v>110</v>
      </c>
      <c r="Y24" s="9" t="s">
        <v>110</v>
      </c>
      <c r="Z24" s="9" t="s">
        <v>110</v>
      </c>
      <c r="AA24" s="6"/>
      <c r="AB24" s="6"/>
      <c r="AC24" s="6" t="s">
        <v>110</v>
      </c>
      <c r="AD24" s="6" t="s">
        <v>110</v>
      </c>
      <c r="AE24" s="6"/>
      <c r="AF24" s="6" t="s">
        <v>110</v>
      </c>
      <c r="AG24" s="3"/>
      <c r="AH24" s="3"/>
      <c r="AI24" s="3"/>
      <c r="AJ24" s="3" t="s">
        <v>110</v>
      </c>
      <c r="AK24" s="3"/>
      <c r="AL24" s="3"/>
    </row>
    <row r="25" spans="1:38" x14ac:dyDescent="0.25">
      <c r="A25" s="1" t="s">
        <v>255</v>
      </c>
      <c r="B25" s="17"/>
      <c r="C25" s="17" t="s">
        <v>110</v>
      </c>
      <c r="D25" s="17"/>
      <c r="E25" s="17"/>
      <c r="F25" s="17" t="s">
        <v>110</v>
      </c>
      <c r="G25" s="17" t="s">
        <v>110</v>
      </c>
      <c r="H25" s="15" t="s">
        <v>110</v>
      </c>
      <c r="I25" s="15" t="s">
        <v>110</v>
      </c>
      <c r="J25" s="15"/>
      <c r="K25" s="15"/>
      <c r="L25" s="15" t="s">
        <v>110</v>
      </c>
      <c r="M25" s="15" t="s">
        <v>110</v>
      </c>
      <c r="N25" s="15"/>
      <c r="O25" s="12"/>
      <c r="P25" s="12"/>
      <c r="Q25" s="12" t="s">
        <v>110</v>
      </c>
      <c r="R25" s="12"/>
      <c r="S25" s="12" t="s">
        <v>110</v>
      </c>
      <c r="T25" s="12" t="s">
        <v>110</v>
      </c>
      <c r="U25" s="9"/>
      <c r="V25" s="9" t="s">
        <v>110</v>
      </c>
      <c r="W25" s="9" t="s">
        <v>110</v>
      </c>
      <c r="X25" s="9"/>
      <c r="Y25" s="9"/>
      <c r="Z25" s="9" t="s">
        <v>110</v>
      </c>
      <c r="AA25" s="6" t="s">
        <v>110</v>
      </c>
      <c r="AB25" s="6"/>
      <c r="AC25" s="6"/>
      <c r="AD25" s="6" t="s">
        <v>110</v>
      </c>
      <c r="AE25" s="6" t="s">
        <v>110</v>
      </c>
      <c r="AF25" s="6"/>
      <c r="AG25" s="3"/>
      <c r="AH25" s="3"/>
      <c r="AI25" s="3" t="s">
        <v>110</v>
      </c>
      <c r="AJ25" s="3" t="s">
        <v>110</v>
      </c>
      <c r="AK25" s="3" t="s">
        <v>110</v>
      </c>
      <c r="AL25" s="3"/>
    </row>
    <row r="26" spans="1:38" x14ac:dyDescent="0.25">
      <c r="A26" s="1" t="s">
        <v>256</v>
      </c>
      <c r="B26" s="17"/>
      <c r="C26" s="17" t="s">
        <v>110</v>
      </c>
      <c r="D26" s="17" t="s">
        <v>110</v>
      </c>
      <c r="E26" s="17" t="s">
        <v>110</v>
      </c>
      <c r="F26" s="17"/>
      <c r="G26" s="17" t="s">
        <v>110</v>
      </c>
      <c r="H26" s="15"/>
      <c r="I26" s="15" t="s">
        <v>110</v>
      </c>
      <c r="J26" s="15" t="s">
        <v>110</v>
      </c>
      <c r="K26" s="15" t="s">
        <v>110</v>
      </c>
      <c r="L26" s="15"/>
      <c r="M26" s="15" t="s">
        <v>110</v>
      </c>
      <c r="N26" s="15"/>
      <c r="O26" s="12" t="s">
        <v>110</v>
      </c>
      <c r="P26" s="12" t="s">
        <v>110</v>
      </c>
      <c r="Q26" s="12"/>
      <c r="R26" s="12" t="s">
        <v>110</v>
      </c>
      <c r="S26" s="12" t="s">
        <v>110</v>
      </c>
      <c r="T26" s="12"/>
      <c r="U26" s="9"/>
      <c r="V26" s="9"/>
      <c r="W26" s="9"/>
      <c r="X26" s="9" t="s">
        <v>110</v>
      </c>
      <c r="Y26" s="9"/>
      <c r="Z26" s="9"/>
      <c r="AA26" s="6"/>
      <c r="AB26" s="6" t="s">
        <v>110</v>
      </c>
      <c r="AC26" s="6"/>
      <c r="AD26" s="6" t="s">
        <v>110</v>
      </c>
      <c r="AE26" s="6"/>
      <c r="AF26" s="6"/>
      <c r="AG26" s="3"/>
      <c r="AH26" s="3" t="s">
        <v>110</v>
      </c>
      <c r="AI26" s="3"/>
      <c r="AJ26" s="3" t="s">
        <v>110</v>
      </c>
      <c r="AK26" s="3"/>
      <c r="AL26" s="3"/>
    </row>
    <row r="27" spans="1:38" x14ac:dyDescent="0.25">
      <c r="A27" s="1" t="s">
        <v>257</v>
      </c>
      <c r="B27" s="17" t="s">
        <v>110</v>
      </c>
      <c r="C27" s="17" t="s">
        <v>110</v>
      </c>
      <c r="D27" s="17" t="s">
        <v>110</v>
      </c>
      <c r="E27" s="17"/>
      <c r="F27" s="17" t="s">
        <v>110</v>
      </c>
      <c r="G27" s="17"/>
      <c r="H27" s="15"/>
      <c r="I27" s="15"/>
      <c r="J27" s="15" t="s">
        <v>110</v>
      </c>
      <c r="K27" s="15"/>
      <c r="L27" s="15"/>
      <c r="M27" s="15" t="s">
        <v>110</v>
      </c>
      <c r="N27" s="15"/>
      <c r="O27" s="12"/>
      <c r="P27" s="12"/>
      <c r="Q27" s="12" t="s">
        <v>110</v>
      </c>
      <c r="R27" s="12"/>
      <c r="S27" s="12" t="s">
        <v>110</v>
      </c>
      <c r="T27" s="12" t="s">
        <v>110</v>
      </c>
      <c r="U27" s="9"/>
      <c r="V27" s="9" t="s">
        <v>110</v>
      </c>
      <c r="W27" s="9"/>
      <c r="X27" s="9"/>
      <c r="Y27" s="9" t="s">
        <v>110</v>
      </c>
      <c r="Z27" s="9"/>
      <c r="AA27" s="6"/>
      <c r="AB27" s="6"/>
      <c r="AC27" s="6" t="s">
        <v>110</v>
      </c>
      <c r="AD27" s="6" t="s">
        <v>110</v>
      </c>
      <c r="AE27" s="6"/>
      <c r="AF27" s="6" t="s">
        <v>110</v>
      </c>
      <c r="AG27" s="3" t="s">
        <v>110</v>
      </c>
      <c r="AH27" s="3"/>
      <c r="AI27" s="3"/>
      <c r="AJ27" s="3" t="s">
        <v>110</v>
      </c>
      <c r="AK27" s="3"/>
      <c r="AL27" s="3" t="s">
        <v>110</v>
      </c>
    </row>
    <row r="28" spans="1:38" x14ac:dyDescent="0.25">
      <c r="A28" s="1" t="s">
        <v>258</v>
      </c>
      <c r="B28" s="17"/>
      <c r="C28" s="17" t="s">
        <v>110</v>
      </c>
      <c r="D28" s="17"/>
      <c r="E28" s="17"/>
      <c r="F28" s="17" t="s">
        <v>110</v>
      </c>
      <c r="G28" s="17" t="s">
        <v>110</v>
      </c>
      <c r="H28" s="15" t="s">
        <v>110</v>
      </c>
      <c r="I28" s="15" t="s">
        <v>110</v>
      </c>
      <c r="J28" s="15"/>
      <c r="K28" s="15"/>
      <c r="L28" s="15" t="s">
        <v>110</v>
      </c>
      <c r="M28" s="15" t="s">
        <v>110</v>
      </c>
      <c r="N28" s="15"/>
      <c r="O28" s="12"/>
      <c r="P28" s="12" t="s">
        <v>110</v>
      </c>
      <c r="Q28" s="12"/>
      <c r="R28" s="12" t="s">
        <v>110</v>
      </c>
      <c r="S28" s="12" t="s">
        <v>110</v>
      </c>
      <c r="T28" s="12" t="s">
        <v>110</v>
      </c>
      <c r="U28" s="9" t="s">
        <v>110</v>
      </c>
      <c r="V28" s="9"/>
      <c r="W28" s="9" t="s">
        <v>110</v>
      </c>
      <c r="X28" s="9" t="s">
        <v>110</v>
      </c>
      <c r="Y28" s="9"/>
      <c r="Z28" s="9" t="s">
        <v>110</v>
      </c>
      <c r="AA28" s="6"/>
      <c r="AB28" s="6"/>
      <c r="AC28" s="6"/>
      <c r="AD28" s="6" t="s">
        <v>110</v>
      </c>
      <c r="AE28" s="6" t="s">
        <v>110</v>
      </c>
      <c r="AF28" s="6"/>
      <c r="AG28" s="3"/>
      <c r="AH28" s="3"/>
      <c r="AI28" s="3" t="s">
        <v>110</v>
      </c>
      <c r="AJ28" s="3" t="s">
        <v>110</v>
      </c>
      <c r="AK28" s="3"/>
      <c r="AL28" s="3"/>
    </row>
    <row r="29" spans="1:38" x14ac:dyDescent="0.25">
      <c r="A29" s="1" t="s">
        <v>259</v>
      </c>
      <c r="B29" s="17"/>
      <c r="C29" s="17" t="s">
        <v>110</v>
      </c>
      <c r="D29" s="17" t="s">
        <v>110</v>
      </c>
      <c r="E29" s="17" t="s">
        <v>110</v>
      </c>
      <c r="F29" s="17"/>
      <c r="G29" s="17" t="s">
        <v>110</v>
      </c>
      <c r="H29" s="15"/>
      <c r="I29" s="15" t="s">
        <v>110</v>
      </c>
      <c r="J29" s="15" t="s">
        <v>110</v>
      </c>
      <c r="K29" s="15" t="s">
        <v>110</v>
      </c>
      <c r="L29" s="15"/>
      <c r="M29" s="15" t="s">
        <v>110</v>
      </c>
      <c r="N29" s="15"/>
      <c r="O29" s="12" t="s">
        <v>110</v>
      </c>
      <c r="P29" s="12"/>
      <c r="Q29" s="12" t="s">
        <v>110</v>
      </c>
      <c r="R29" s="12"/>
      <c r="S29" s="12" t="s">
        <v>110</v>
      </c>
      <c r="T29" s="12"/>
      <c r="U29" s="9"/>
      <c r="V29" s="9" t="s">
        <v>110</v>
      </c>
      <c r="W29" s="9"/>
      <c r="X29" s="9"/>
      <c r="Y29" s="9"/>
      <c r="Z29" s="9" t="s">
        <v>110</v>
      </c>
      <c r="AA29" s="6" t="s">
        <v>110</v>
      </c>
      <c r="AB29" s="6" t="s">
        <v>110</v>
      </c>
      <c r="AC29" s="6"/>
      <c r="AD29" s="6" t="s">
        <v>110</v>
      </c>
      <c r="AE29" s="6"/>
      <c r="AF29" s="6"/>
      <c r="AG29" s="3"/>
      <c r="AH29" s="3" t="s">
        <v>110</v>
      </c>
      <c r="AI29" s="3"/>
      <c r="AJ29" s="3" t="s">
        <v>110</v>
      </c>
      <c r="AK29" s="3" t="s">
        <v>110</v>
      </c>
      <c r="AL29" s="3"/>
    </row>
    <row r="30" spans="1:38" x14ac:dyDescent="0.25">
      <c r="A30" s="1" t="s">
        <v>260</v>
      </c>
      <c r="B30" s="17" t="s">
        <v>110</v>
      </c>
      <c r="C30" s="17" t="s">
        <v>110</v>
      </c>
      <c r="D30" s="17" t="s">
        <v>110</v>
      </c>
      <c r="E30" s="17"/>
      <c r="F30" s="17" t="s">
        <v>110</v>
      </c>
      <c r="G30" s="17"/>
      <c r="H30" s="15"/>
      <c r="I30" s="15"/>
      <c r="J30" s="15" t="s">
        <v>110</v>
      </c>
      <c r="K30" s="15"/>
      <c r="L30" s="15"/>
      <c r="M30" s="15" t="s">
        <v>110</v>
      </c>
      <c r="N30" s="15"/>
      <c r="O30" s="12"/>
      <c r="P30" s="12" t="s">
        <v>110</v>
      </c>
      <c r="Q30" s="12"/>
      <c r="R30" s="12" t="s">
        <v>110</v>
      </c>
      <c r="S30" s="12" t="s">
        <v>110</v>
      </c>
      <c r="T30" s="12" t="s">
        <v>110</v>
      </c>
      <c r="U30" s="9"/>
      <c r="V30" s="9"/>
      <c r="W30" s="9"/>
      <c r="X30" s="9" t="s">
        <v>110</v>
      </c>
      <c r="Y30" s="9" t="s">
        <v>110</v>
      </c>
      <c r="Z30" s="9"/>
      <c r="AA30" s="6"/>
      <c r="AB30" s="6"/>
      <c r="AC30" s="6" t="s">
        <v>110</v>
      </c>
      <c r="AD30" s="6" t="s">
        <v>110</v>
      </c>
      <c r="AE30" s="6"/>
      <c r="AF30" s="6" t="s">
        <v>110</v>
      </c>
      <c r="AG30" s="3"/>
      <c r="AH30" s="3"/>
      <c r="AI30" s="3"/>
      <c r="AJ30" s="3" t="s">
        <v>110</v>
      </c>
      <c r="AK30" s="3"/>
      <c r="AL30" s="3"/>
    </row>
    <row r="31" spans="1:38" x14ac:dyDescent="0.25">
      <c r="A31" s="1" t="s">
        <v>261</v>
      </c>
      <c r="B31" s="17"/>
      <c r="C31" s="17" t="s">
        <v>110</v>
      </c>
      <c r="D31" s="17"/>
      <c r="E31" s="17"/>
      <c r="F31" s="17" t="s">
        <v>110</v>
      </c>
      <c r="G31" s="17" t="s">
        <v>110</v>
      </c>
      <c r="H31" s="15" t="s">
        <v>110</v>
      </c>
      <c r="I31" s="15"/>
      <c r="J31" s="15"/>
      <c r="K31" s="15"/>
      <c r="L31" s="15" t="s">
        <v>110</v>
      </c>
      <c r="M31" s="15" t="s">
        <v>110</v>
      </c>
      <c r="N31" s="15"/>
      <c r="O31" s="12"/>
      <c r="P31" s="12"/>
      <c r="Q31" s="12" t="s">
        <v>110</v>
      </c>
      <c r="R31" s="12"/>
      <c r="S31" s="12" t="s">
        <v>110</v>
      </c>
      <c r="T31" s="12" t="s">
        <v>110</v>
      </c>
      <c r="U31" s="9"/>
      <c r="V31" s="9" t="s">
        <v>110</v>
      </c>
      <c r="W31" s="9" t="s">
        <v>110</v>
      </c>
      <c r="X31" s="9"/>
      <c r="Y31" s="9"/>
      <c r="Z31" s="9"/>
      <c r="AA31" s="6"/>
      <c r="AB31" s="6"/>
      <c r="AC31" s="6"/>
      <c r="AD31" s="6" t="s">
        <v>110</v>
      </c>
      <c r="AE31" s="6" t="s">
        <v>110</v>
      </c>
      <c r="AF31" s="6"/>
      <c r="AG31" s="3" t="s">
        <v>110</v>
      </c>
      <c r="AH31" s="3"/>
      <c r="AI31" s="3" t="s">
        <v>110</v>
      </c>
      <c r="AJ31" s="3" t="s">
        <v>110</v>
      </c>
      <c r="AK31" s="3"/>
      <c r="AL31" s="3" t="s">
        <v>110</v>
      </c>
    </row>
    <row r="32" spans="1:38" x14ac:dyDescent="0.25">
      <c r="A32" s="1" t="s">
        <v>262</v>
      </c>
      <c r="B32" s="17"/>
      <c r="C32" s="17" t="s">
        <v>110</v>
      </c>
      <c r="D32" s="17" t="s">
        <v>110</v>
      </c>
      <c r="E32" s="17" t="s">
        <v>110</v>
      </c>
      <c r="F32" s="17"/>
      <c r="G32" s="17" t="s">
        <v>110</v>
      </c>
      <c r="H32" s="15"/>
      <c r="I32" s="15" t="s">
        <v>110</v>
      </c>
      <c r="J32" s="15" t="s">
        <v>110</v>
      </c>
      <c r="K32" s="15" t="s">
        <v>110</v>
      </c>
      <c r="L32" s="15"/>
      <c r="M32" s="15" t="s">
        <v>110</v>
      </c>
      <c r="N32" s="15"/>
      <c r="O32" s="12" t="s">
        <v>110</v>
      </c>
      <c r="P32" s="12" t="s">
        <v>110</v>
      </c>
      <c r="Q32" s="12"/>
      <c r="R32" s="12" t="s">
        <v>110</v>
      </c>
      <c r="S32" s="12" t="s">
        <v>110</v>
      </c>
      <c r="T32" s="12"/>
      <c r="U32" s="9"/>
      <c r="V32" s="9"/>
      <c r="W32" s="9"/>
      <c r="X32" s="9" t="s">
        <v>110</v>
      </c>
      <c r="Y32" s="9"/>
      <c r="Z32" s="9" t="s">
        <v>110</v>
      </c>
      <c r="AA32" s="6"/>
      <c r="AB32" s="6" t="s">
        <v>110</v>
      </c>
      <c r="AC32" s="6"/>
      <c r="AD32" s="6"/>
      <c r="AE32" s="6"/>
      <c r="AF32" s="6"/>
      <c r="AG32" s="3"/>
      <c r="AH32" s="3" t="s">
        <v>110</v>
      </c>
      <c r="AI32" s="3"/>
      <c r="AJ32" s="3" t="s">
        <v>110</v>
      </c>
      <c r="AK32" s="3"/>
      <c r="AL32" s="3"/>
    </row>
    <row r="33" spans="1:38" x14ac:dyDescent="0.25">
      <c r="A33" s="1" t="s">
        <v>263</v>
      </c>
      <c r="B33" s="17" t="s">
        <v>110</v>
      </c>
      <c r="C33" s="17" t="s">
        <v>110</v>
      </c>
      <c r="D33" s="17"/>
      <c r="E33" s="17"/>
      <c r="F33" s="17" t="s">
        <v>110</v>
      </c>
      <c r="G33" s="17"/>
      <c r="H33" s="15"/>
      <c r="I33" s="15"/>
      <c r="J33" s="15" t="s">
        <v>110</v>
      </c>
      <c r="K33" s="15"/>
      <c r="L33" s="15"/>
      <c r="M33" s="15" t="s">
        <v>110</v>
      </c>
      <c r="N33" s="15"/>
      <c r="O33" s="12" t="s">
        <v>110</v>
      </c>
      <c r="P33" s="12"/>
      <c r="Q33" s="12" t="s">
        <v>110</v>
      </c>
      <c r="R33" s="12"/>
      <c r="S33" s="12" t="s">
        <v>110</v>
      </c>
      <c r="T33" s="12" t="s">
        <v>110</v>
      </c>
      <c r="U33" s="9"/>
      <c r="V33" s="9" t="s">
        <v>110</v>
      </c>
      <c r="W33" s="9"/>
      <c r="X33" s="9"/>
      <c r="Y33" s="9" t="s">
        <v>110</v>
      </c>
      <c r="Z33" s="9" t="s">
        <v>110</v>
      </c>
      <c r="AA33" s="6" t="s">
        <v>110</v>
      </c>
      <c r="AB33" s="6"/>
      <c r="AC33" s="6" t="s">
        <v>110</v>
      </c>
      <c r="AD33" s="6"/>
      <c r="AE33" s="6"/>
      <c r="AF33" s="6" t="s">
        <v>110</v>
      </c>
      <c r="AG33" s="3"/>
      <c r="AH33" s="3"/>
      <c r="AI33" s="3"/>
      <c r="AJ33" s="3" t="s">
        <v>110</v>
      </c>
      <c r="AK33" s="3" t="s">
        <v>110</v>
      </c>
      <c r="AL33" s="3"/>
    </row>
    <row r="34" spans="1:38" x14ac:dyDescent="0.25">
      <c r="A34" s="1" t="s">
        <v>264</v>
      </c>
      <c r="B34" s="17"/>
      <c r="C34" s="17" t="s">
        <v>110</v>
      </c>
      <c r="D34" s="17" t="s">
        <v>110</v>
      </c>
      <c r="E34" s="17"/>
      <c r="F34" s="17"/>
      <c r="G34" s="17" t="s">
        <v>110</v>
      </c>
      <c r="H34" s="15" t="s">
        <v>110</v>
      </c>
      <c r="I34" s="15" t="s">
        <v>110</v>
      </c>
      <c r="J34" s="15" t="s">
        <v>110</v>
      </c>
      <c r="K34" s="15"/>
      <c r="L34" s="15" t="s">
        <v>110</v>
      </c>
      <c r="M34" s="15" t="s">
        <v>110</v>
      </c>
      <c r="N34" s="15"/>
      <c r="O34" s="12"/>
      <c r="P34" s="12" t="s">
        <v>110</v>
      </c>
      <c r="Q34" s="12"/>
      <c r="R34" s="12" t="s">
        <v>110</v>
      </c>
      <c r="S34" s="12" t="s">
        <v>110</v>
      </c>
      <c r="T34" s="12" t="s">
        <v>110</v>
      </c>
      <c r="U34" s="9"/>
      <c r="V34" s="9"/>
      <c r="W34" s="9" t="s">
        <v>110</v>
      </c>
      <c r="X34" s="9" t="s">
        <v>110</v>
      </c>
      <c r="Y34" s="9"/>
      <c r="Z34" s="9"/>
      <c r="AA34" s="6"/>
      <c r="AB34" s="6"/>
      <c r="AC34" s="6"/>
      <c r="AD34" s="6"/>
      <c r="AE34" s="6" t="s">
        <v>110</v>
      </c>
      <c r="AF34" s="6"/>
      <c r="AG34" s="3"/>
      <c r="AH34" s="3"/>
      <c r="AI34" s="3" t="s">
        <v>110</v>
      </c>
      <c r="AJ34" s="3" t="s">
        <v>110</v>
      </c>
      <c r="AK34" s="3"/>
      <c r="AL34" s="3"/>
    </row>
    <row r="35" spans="1:38" x14ac:dyDescent="0.25">
      <c r="A35" s="1" t="s">
        <v>265</v>
      </c>
      <c r="B35" s="17"/>
      <c r="C35" s="17" t="s">
        <v>110</v>
      </c>
      <c r="D35" s="17"/>
      <c r="E35" s="17" t="s">
        <v>110</v>
      </c>
      <c r="F35" s="17" t="s">
        <v>110</v>
      </c>
      <c r="G35" s="17"/>
      <c r="H35" s="15"/>
      <c r="I35" s="15" t="s">
        <v>110</v>
      </c>
      <c r="J35" s="15" t="s">
        <v>110</v>
      </c>
      <c r="K35" s="15" t="s">
        <v>110</v>
      </c>
      <c r="L35" s="15"/>
      <c r="M35" s="15" t="s">
        <v>110</v>
      </c>
      <c r="N35" s="15"/>
      <c r="O35" s="12" t="s">
        <v>110</v>
      </c>
      <c r="P35" s="12"/>
      <c r="Q35" s="12" t="s">
        <v>110</v>
      </c>
      <c r="R35" s="12"/>
      <c r="S35" s="12" t="s">
        <v>110</v>
      </c>
      <c r="T35" s="12"/>
      <c r="U35" s="9"/>
      <c r="V35" s="9" t="s">
        <v>110</v>
      </c>
      <c r="W35" s="9"/>
      <c r="X35" s="9"/>
      <c r="Y35" s="9"/>
      <c r="Z35" s="9"/>
      <c r="AA35" s="6"/>
      <c r="AB35" s="6" t="s">
        <v>110</v>
      </c>
      <c r="AC35" s="6"/>
      <c r="AD35" s="6"/>
      <c r="AE35" s="6"/>
      <c r="AF35" s="6"/>
      <c r="AG35" s="3"/>
      <c r="AH35" s="3" t="s">
        <v>110</v>
      </c>
      <c r="AI35" s="3"/>
      <c r="AJ35" s="3" t="s">
        <v>110</v>
      </c>
      <c r="AK35" s="3"/>
      <c r="AL35" s="3" t="s">
        <v>110</v>
      </c>
    </row>
    <row r="36" spans="1:38" x14ac:dyDescent="0.25">
      <c r="A36" s="1" t="s">
        <v>266</v>
      </c>
      <c r="B36" s="17" t="s">
        <v>110</v>
      </c>
      <c r="C36" s="17" t="s">
        <v>110</v>
      </c>
      <c r="D36" s="17" t="s">
        <v>110</v>
      </c>
      <c r="E36" s="17"/>
      <c r="F36" s="17"/>
      <c r="G36" s="17" t="s">
        <v>110</v>
      </c>
      <c r="H36" s="15"/>
      <c r="I36" s="15"/>
      <c r="J36" s="15" t="s">
        <v>110</v>
      </c>
      <c r="K36" s="15"/>
      <c r="L36" s="15"/>
      <c r="M36" s="15" t="s">
        <v>110</v>
      </c>
      <c r="N36" s="15"/>
      <c r="O36" s="12"/>
      <c r="P36" s="12" t="s">
        <v>110</v>
      </c>
      <c r="Q36" s="12"/>
      <c r="R36" s="12" t="s">
        <v>110</v>
      </c>
      <c r="S36" s="12" t="s">
        <v>110</v>
      </c>
      <c r="T36" s="12" t="s">
        <v>110</v>
      </c>
      <c r="U36" s="9"/>
      <c r="V36" s="9"/>
      <c r="W36" s="9"/>
      <c r="X36" s="9" t="s">
        <v>110</v>
      </c>
      <c r="Y36" s="9" t="s">
        <v>110</v>
      </c>
      <c r="Z36" s="9" t="s">
        <v>110</v>
      </c>
      <c r="AA36" s="6"/>
      <c r="AB36" s="6"/>
      <c r="AC36" s="6" t="s">
        <v>110</v>
      </c>
      <c r="AD36" s="6"/>
      <c r="AE36" s="6"/>
      <c r="AF36" s="6" t="s">
        <v>110</v>
      </c>
      <c r="AG36" s="3" t="s">
        <v>110</v>
      </c>
      <c r="AH36" s="3"/>
      <c r="AI36" s="3"/>
      <c r="AJ36" s="3" t="s">
        <v>110</v>
      </c>
      <c r="AK36" s="3"/>
      <c r="AL36" s="3"/>
    </row>
    <row r="37" spans="1:38" x14ac:dyDescent="0.25">
      <c r="A37" s="1" t="s">
        <v>267</v>
      </c>
      <c r="B37" s="17"/>
      <c r="C37" s="17" t="s">
        <v>110</v>
      </c>
      <c r="D37" s="17"/>
      <c r="E37" s="17"/>
      <c r="F37" s="17" t="s">
        <v>110</v>
      </c>
      <c r="G37" s="17"/>
      <c r="H37" s="15"/>
      <c r="I37" s="15" t="s">
        <v>110</v>
      </c>
      <c r="J37" s="15" t="s">
        <v>110</v>
      </c>
      <c r="K37" s="15"/>
      <c r="L37" s="15" t="s">
        <v>110</v>
      </c>
      <c r="M37" s="15" t="s">
        <v>110</v>
      </c>
      <c r="N37" s="15"/>
      <c r="O37" s="12"/>
      <c r="P37" s="12"/>
      <c r="Q37" s="12" t="s">
        <v>110</v>
      </c>
      <c r="R37" s="12"/>
      <c r="S37" s="12" t="s">
        <v>110</v>
      </c>
      <c r="T37" s="12" t="s">
        <v>110</v>
      </c>
      <c r="U37" s="9"/>
      <c r="V37" s="9" t="s">
        <v>110</v>
      </c>
      <c r="W37" s="9" t="s">
        <v>110</v>
      </c>
      <c r="X37" s="9"/>
      <c r="Y37" s="9"/>
      <c r="Z37" s="9" t="s">
        <v>110</v>
      </c>
      <c r="AA37" s="6"/>
      <c r="AB37" s="6"/>
      <c r="AC37" s="6"/>
      <c r="AD37" s="6"/>
      <c r="AE37" s="6" t="s">
        <v>110</v>
      </c>
      <c r="AF37" s="6"/>
      <c r="AG37" s="3"/>
      <c r="AH37" s="3"/>
      <c r="AI37" s="3" t="s">
        <v>110</v>
      </c>
      <c r="AJ37" s="3" t="s">
        <v>110</v>
      </c>
      <c r="AK37" s="3" t="s">
        <v>110</v>
      </c>
      <c r="AL37" s="3"/>
    </row>
    <row r="38" spans="1:38" x14ac:dyDescent="0.25">
      <c r="A38" s="1" t="s">
        <v>268</v>
      </c>
      <c r="B38" s="17"/>
      <c r="C38" s="17" t="s">
        <v>110</v>
      </c>
      <c r="D38" s="17" t="s">
        <v>110</v>
      </c>
      <c r="E38" s="17" t="s">
        <v>110</v>
      </c>
      <c r="F38" s="17"/>
      <c r="G38" s="17" t="s">
        <v>110</v>
      </c>
      <c r="H38" s="15" t="s">
        <v>110</v>
      </c>
      <c r="I38" s="15" t="s">
        <v>110</v>
      </c>
      <c r="J38" s="15" t="s">
        <v>110</v>
      </c>
      <c r="K38" s="15" t="s">
        <v>110</v>
      </c>
      <c r="L38" s="15"/>
      <c r="M38" s="15" t="s">
        <v>110</v>
      </c>
      <c r="N38" s="15"/>
      <c r="O38" s="12" t="s">
        <v>110</v>
      </c>
      <c r="P38" s="12" t="s">
        <v>110</v>
      </c>
      <c r="Q38" s="12"/>
      <c r="R38" s="12" t="s">
        <v>110</v>
      </c>
      <c r="S38" s="12" t="s">
        <v>110</v>
      </c>
      <c r="T38" s="12"/>
      <c r="U38" s="9" t="s">
        <v>110</v>
      </c>
      <c r="V38" s="9"/>
      <c r="W38" s="9"/>
      <c r="X38" s="9" t="s">
        <v>110</v>
      </c>
      <c r="Y38" s="9"/>
      <c r="Z38" s="9"/>
      <c r="AA38" s="6" t="s">
        <v>110</v>
      </c>
      <c r="AB38" s="6" t="s">
        <v>110</v>
      </c>
      <c r="AC38" s="6"/>
      <c r="AD38" s="6"/>
      <c r="AE38" s="6"/>
      <c r="AF38" s="6"/>
      <c r="AG38" s="3"/>
      <c r="AH38" s="3" t="s">
        <v>110</v>
      </c>
      <c r="AI38" s="3"/>
      <c r="AJ38" s="3" t="s">
        <v>110</v>
      </c>
      <c r="AK38" s="3"/>
      <c r="AL38" s="3"/>
    </row>
    <row r="39" spans="1:38" x14ac:dyDescent="0.25">
      <c r="A39" s="1" t="s">
        <v>269</v>
      </c>
      <c r="B39" s="17" t="s">
        <v>110</v>
      </c>
      <c r="C39" s="17" t="s">
        <v>110</v>
      </c>
      <c r="D39" s="17"/>
      <c r="E39" s="17"/>
      <c r="F39" s="17" t="s">
        <v>110</v>
      </c>
      <c r="G39" s="17"/>
      <c r="H39" s="15"/>
      <c r="I39" s="15"/>
      <c r="J39" s="15" t="s">
        <v>110</v>
      </c>
      <c r="K39" s="15"/>
      <c r="L39" s="15"/>
      <c r="M39" s="15" t="s">
        <v>110</v>
      </c>
      <c r="N39" s="15"/>
      <c r="O39" s="12"/>
      <c r="P39" s="12"/>
      <c r="Q39" s="12" t="s">
        <v>110</v>
      </c>
      <c r="R39" s="12"/>
      <c r="S39" s="12" t="s">
        <v>110</v>
      </c>
      <c r="T39" s="12" t="s">
        <v>110</v>
      </c>
      <c r="U39" s="9"/>
      <c r="V39" s="9" t="s">
        <v>110</v>
      </c>
      <c r="W39" s="9"/>
      <c r="X39" s="9"/>
      <c r="Y39" s="9" t="s">
        <v>110</v>
      </c>
      <c r="Z39" s="9"/>
      <c r="AA39" s="6"/>
      <c r="AB39" s="6"/>
      <c r="AC39" s="6" t="s">
        <v>110</v>
      </c>
      <c r="AD39" s="6"/>
      <c r="AE39" s="6"/>
      <c r="AF39" s="6" t="s">
        <v>110</v>
      </c>
      <c r="AG39" s="3"/>
      <c r="AH39" s="3"/>
      <c r="AI39" s="3"/>
      <c r="AJ39" s="3" t="s">
        <v>110</v>
      </c>
      <c r="AK39" s="3"/>
      <c r="AL39" s="3" t="s">
        <v>110</v>
      </c>
    </row>
    <row r="40" spans="1:38" x14ac:dyDescent="0.25">
      <c r="A40" s="1" t="s">
        <v>270</v>
      </c>
      <c r="B40" s="17"/>
      <c r="C40" s="17" t="s">
        <v>110</v>
      </c>
      <c r="D40" s="17" t="s">
        <v>110</v>
      </c>
      <c r="E40" s="17"/>
      <c r="F40" s="17"/>
      <c r="G40" s="17" t="s">
        <v>110</v>
      </c>
      <c r="H40" s="15"/>
      <c r="I40" s="15" t="s">
        <v>110</v>
      </c>
      <c r="J40" s="15" t="s">
        <v>110</v>
      </c>
      <c r="K40" s="15"/>
      <c r="L40" s="15" t="s">
        <v>110</v>
      </c>
      <c r="M40" s="15" t="s">
        <v>110</v>
      </c>
      <c r="N40" s="15"/>
      <c r="O40" s="12"/>
      <c r="P40" s="12" t="s">
        <v>110</v>
      </c>
      <c r="Q40" s="12"/>
      <c r="R40" s="12" t="s">
        <v>110</v>
      </c>
      <c r="S40" s="12" t="s">
        <v>110</v>
      </c>
      <c r="T40" s="12" t="s">
        <v>110</v>
      </c>
      <c r="U40" s="9"/>
      <c r="V40" s="9"/>
      <c r="W40" s="9" t="s">
        <v>110</v>
      </c>
      <c r="X40" s="9" t="s">
        <v>110</v>
      </c>
      <c r="Y40" s="9"/>
      <c r="Z40" s="9" t="s">
        <v>110</v>
      </c>
      <c r="AA40" s="6"/>
      <c r="AB40" s="6"/>
      <c r="AC40" s="6"/>
      <c r="AD40" s="6"/>
      <c r="AE40" s="6" t="s">
        <v>110</v>
      </c>
      <c r="AF40" s="6"/>
      <c r="AG40" s="3"/>
      <c r="AH40" s="3"/>
      <c r="AI40" s="3" t="s">
        <v>110</v>
      </c>
      <c r="AJ40" s="3" t="s">
        <v>110</v>
      </c>
      <c r="AK40" s="3"/>
      <c r="AL40" s="3"/>
    </row>
    <row r="41" spans="1:38" x14ac:dyDescent="0.25">
      <c r="A41" s="1" t="s">
        <v>271</v>
      </c>
      <c r="B41" s="17"/>
      <c r="C41" s="17" t="s">
        <v>110</v>
      </c>
      <c r="D41" s="17"/>
      <c r="E41" s="17" t="s">
        <v>110</v>
      </c>
      <c r="F41" s="17" t="s">
        <v>110</v>
      </c>
      <c r="G41" s="17"/>
      <c r="H41" s="15"/>
      <c r="I41" s="15" t="s">
        <v>110</v>
      </c>
      <c r="J41" s="15" t="s">
        <v>110</v>
      </c>
      <c r="K41" s="15" t="s">
        <v>110</v>
      </c>
      <c r="L41" s="15"/>
      <c r="M41" s="15" t="s">
        <v>110</v>
      </c>
      <c r="N41" s="15"/>
      <c r="O41" s="12" t="s">
        <v>110</v>
      </c>
      <c r="P41" s="12"/>
      <c r="Q41" s="12" t="s">
        <v>110</v>
      </c>
      <c r="R41" s="12"/>
      <c r="S41" s="12" t="s">
        <v>110</v>
      </c>
      <c r="T41" s="12"/>
      <c r="U41" s="9"/>
      <c r="V41" s="9" t="s">
        <v>110</v>
      </c>
      <c r="W41" s="9"/>
      <c r="X41" s="9"/>
      <c r="Y41" s="9"/>
      <c r="Z41" s="9" t="s">
        <v>110</v>
      </c>
      <c r="AA41" s="6"/>
      <c r="AB41" s="6" t="s">
        <v>110</v>
      </c>
      <c r="AC41" s="6"/>
      <c r="AD41" s="6"/>
      <c r="AE41" s="6"/>
      <c r="AF41" s="6"/>
      <c r="AG41" s="3"/>
      <c r="AH41" s="3" t="s">
        <v>110</v>
      </c>
      <c r="AI41" s="3"/>
      <c r="AJ41" s="3" t="s">
        <v>110</v>
      </c>
      <c r="AK41" s="3" t="s">
        <v>110</v>
      </c>
      <c r="AL41" s="3"/>
    </row>
    <row r="42" spans="1:38" x14ac:dyDescent="0.25">
      <c r="A42" s="1" t="s">
        <v>272</v>
      </c>
      <c r="B42" s="17" t="s">
        <v>110</v>
      </c>
      <c r="C42" s="17" t="s">
        <v>110</v>
      </c>
      <c r="D42" s="17" t="s">
        <v>110</v>
      </c>
      <c r="E42" s="17"/>
      <c r="F42" s="17"/>
      <c r="G42" s="17"/>
      <c r="H42" s="15" t="s">
        <v>110</v>
      </c>
      <c r="I42" s="15"/>
      <c r="J42" s="15" t="s">
        <v>110</v>
      </c>
      <c r="K42" s="15"/>
      <c r="L42" s="15"/>
      <c r="M42" s="15" t="s">
        <v>110</v>
      </c>
      <c r="N42" s="15"/>
      <c r="O42" s="12"/>
      <c r="P42" s="12" t="s">
        <v>110</v>
      </c>
      <c r="Q42" s="12"/>
      <c r="R42" s="12" t="s">
        <v>110</v>
      </c>
      <c r="S42" s="12" t="s">
        <v>110</v>
      </c>
      <c r="T42" s="12" t="s">
        <v>110</v>
      </c>
      <c r="U42" s="9"/>
      <c r="V42" s="9"/>
      <c r="W42" s="9"/>
      <c r="X42" s="9" t="s">
        <v>110</v>
      </c>
      <c r="Y42" s="9" t="s">
        <v>110</v>
      </c>
      <c r="Z42" s="9"/>
      <c r="AA42" s="6"/>
      <c r="AB42" s="6"/>
      <c r="AC42" s="6" t="s">
        <v>110</v>
      </c>
      <c r="AD42" s="6"/>
      <c r="AE42" s="6"/>
      <c r="AF42" s="6" t="s">
        <v>110</v>
      </c>
      <c r="AG42" s="3" t="s">
        <v>110</v>
      </c>
      <c r="AH42" s="3"/>
      <c r="AI42" s="3"/>
      <c r="AJ42" s="3" t="s">
        <v>110</v>
      </c>
      <c r="AK42" s="3"/>
      <c r="AL42" s="3"/>
    </row>
    <row r="43" spans="1:38" x14ac:dyDescent="0.25">
      <c r="A43" s="1" t="s">
        <v>273</v>
      </c>
      <c r="B43" s="17"/>
      <c r="C43" s="17" t="s">
        <v>110</v>
      </c>
      <c r="D43" s="17"/>
      <c r="E43" s="17"/>
      <c r="F43" s="17"/>
      <c r="G43" s="17"/>
      <c r="H43" s="15"/>
      <c r="I43" s="15" t="s">
        <v>110</v>
      </c>
      <c r="J43" s="15"/>
      <c r="K43" s="15"/>
      <c r="L43" s="15" t="s">
        <v>110</v>
      </c>
      <c r="M43" s="15" t="s">
        <v>110</v>
      </c>
      <c r="N43" s="15"/>
      <c r="O43" s="12"/>
      <c r="P43" s="12"/>
      <c r="Q43" s="12" t="s">
        <v>110</v>
      </c>
      <c r="R43" s="12"/>
      <c r="S43" s="12" t="s">
        <v>110</v>
      </c>
      <c r="T43" s="12" t="s">
        <v>110</v>
      </c>
      <c r="U43" s="9"/>
      <c r="V43" s="9" t="s">
        <v>110</v>
      </c>
      <c r="W43" s="9" t="s">
        <v>110</v>
      </c>
      <c r="X43" s="9"/>
      <c r="Y43" s="9"/>
      <c r="Z43" s="9"/>
      <c r="AA43" s="6" t="s">
        <v>110</v>
      </c>
      <c r="AB43" s="6"/>
      <c r="AC43" s="6"/>
      <c r="AD43" s="6"/>
      <c r="AE43" s="6" t="s">
        <v>110</v>
      </c>
      <c r="AF43" s="6"/>
      <c r="AG43" s="3"/>
      <c r="AH43" s="3"/>
      <c r="AI43" s="3"/>
      <c r="AJ43" s="3" t="s">
        <v>110</v>
      </c>
      <c r="AK43" s="3"/>
      <c r="AL43" s="3" t="s">
        <v>110</v>
      </c>
    </row>
    <row r="44" spans="1:38" x14ac:dyDescent="0.25">
      <c r="A44" s="1" t="s">
        <v>274</v>
      </c>
      <c r="B44" s="17"/>
      <c r="C44" s="17" t="s">
        <v>110</v>
      </c>
      <c r="D44" s="17" t="s">
        <v>110</v>
      </c>
      <c r="E44" s="17" t="s">
        <v>110</v>
      </c>
      <c r="F44" s="17"/>
      <c r="G44" s="17"/>
      <c r="H44" s="15"/>
      <c r="I44" s="15"/>
      <c r="J44" s="15" t="s">
        <v>110</v>
      </c>
      <c r="K44" s="15" t="s">
        <v>110</v>
      </c>
      <c r="L44" s="15"/>
      <c r="M44" s="15" t="s">
        <v>110</v>
      </c>
      <c r="N44" s="15"/>
      <c r="O44" s="12" t="s">
        <v>110</v>
      </c>
      <c r="P44" s="12" t="s">
        <v>110</v>
      </c>
      <c r="Q44" s="12"/>
      <c r="R44" s="12" t="s">
        <v>110</v>
      </c>
      <c r="S44" s="12" t="s">
        <v>110</v>
      </c>
      <c r="T44" s="12"/>
      <c r="U44" s="9"/>
      <c r="V44" s="9"/>
      <c r="W44" s="9"/>
      <c r="X44" s="9" t="s">
        <v>110</v>
      </c>
      <c r="Y44" s="9"/>
      <c r="Z44" s="9" t="s">
        <v>110</v>
      </c>
      <c r="AA44" s="6"/>
      <c r="AB44" s="6" t="s">
        <v>110</v>
      </c>
      <c r="AC44" s="6"/>
      <c r="AD44" s="6"/>
      <c r="AE44" s="6"/>
      <c r="AF44" s="6"/>
      <c r="AG44" s="3"/>
      <c r="AH44" s="3"/>
      <c r="AI44" s="3"/>
      <c r="AJ44" s="3" t="s">
        <v>110</v>
      </c>
      <c r="AK44" s="3"/>
      <c r="AL44" s="3"/>
    </row>
    <row r="45" spans="1:38" x14ac:dyDescent="0.25">
      <c r="A45" s="1" t="s">
        <v>275</v>
      </c>
      <c r="B45" s="17" t="s">
        <v>110</v>
      </c>
      <c r="C45" s="17" t="s">
        <v>110</v>
      </c>
      <c r="D45" s="17"/>
      <c r="E45" s="17"/>
      <c r="F45" s="17"/>
      <c r="G45" s="17"/>
      <c r="H45" s="15"/>
      <c r="I45" s="15" t="s">
        <v>110</v>
      </c>
      <c r="J45" s="15"/>
      <c r="K45" s="15"/>
      <c r="L45" s="15"/>
      <c r="M45" s="15" t="s">
        <v>110</v>
      </c>
      <c r="N45" s="15"/>
      <c r="O45" s="12"/>
      <c r="P45" s="12"/>
      <c r="Q45" s="12" t="s">
        <v>110</v>
      </c>
      <c r="R45" s="12"/>
      <c r="S45" s="12" t="s">
        <v>110</v>
      </c>
      <c r="T45" s="12"/>
      <c r="U45" s="9"/>
      <c r="V45" s="9" t="s">
        <v>110</v>
      </c>
      <c r="W45" s="9"/>
      <c r="X45" s="9"/>
      <c r="Y45" s="9" t="s">
        <v>110</v>
      </c>
      <c r="Z45" s="9" t="s">
        <v>110</v>
      </c>
      <c r="AA45" s="6"/>
      <c r="AB45" s="6"/>
      <c r="AC45" s="6" t="s">
        <v>110</v>
      </c>
      <c r="AD45" s="6"/>
      <c r="AE45" s="6"/>
      <c r="AF45" s="6" t="s">
        <v>110</v>
      </c>
      <c r="AG45" s="3"/>
      <c r="AH45" s="3"/>
      <c r="AI45" s="3"/>
      <c r="AJ45" s="3" t="s">
        <v>110</v>
      </c>
      <c r="AK45" s="3" t="s">
        <v>110</v>
      </c>
      <c r="AL45" s="3"/>
    </row>
    <row r="46" spans="1:38" x14ac:dyDescent="0.25">
      <c r="A46" s="1" t="s">
        <v>276</v>
      </c>
      <c r="B46" s="17"/>
      <c r="C46" s="17" t="s">
        <v>110</v>
      </c>
      <c r="D46" s="17" t="s">
        <v>110</v>
      </c>
      <c r="E46" s="17"/>
      <c r="F46" s="17"/>
      <c r="G46" s="17"/>
      <c r="H46" s="15"/>
      <c r="I46" s="15"/>
      <c r="J46" s="15" t="s">
        <v>110</v>
      </c>
      <c r="K46" s="15"/>
      <c r="L46" s="15" t="s">
        <v>110</v>
      </c>
      <c r="M46" s="15" t="s">
        <v>110</v>
      </c>
      <c r="N46" s="15"/>
      <c r="O46" s="12"/>
      <c r="P46" s="12" t="s">
        <v>110</v>
      </c>
      <c r="Q46" s="12"/>
      <c r="R46" s="12" t="s">
        <v>110</v>
      </c>
      <c r="S46" s="12" t="s">
        <v>110</v>
      </c>
      <c r="T46" s="12" t="s">
        <v>110</v>
      </c>
      <c r="U46" s="9"/>
      <c r="V46" s="9"/>
      <c r="W46" s="9" t="s">
        <v>110</v>
      </c>
      <c r="X46" s="9" t="s">
        <v>110</v>
      </c>
      <c r="Y46" s="9"/>
      <c r="Z46" s="9"/>
      <c r="AA46" s="6"/>
      <c r="AB46" s="6"/>
      <c r="AC46" s="6"/>
      <c r="AD46" s="6"/>
      <c r="AE46" s="6" t="s">
        <v>110</v>
      </c>
      <c r="AF46" s="6"/>
      <c r="AG46" s="3"/>
      <c r="AH46" s="3"/>
      <c r="AI46" s="3"/>
      <c r="AJ46" s="3" t="s">
        <v>110</v>
      </c>
      <c r="AK46" s="3"/>
      <c r="AL46" s="3"/>
    </row>
    <row r="47" spans="1:38" x14ac:dyDescent="0.25">
      <c r="A47" s="1" t="s">
        <v>277</v>
      </c>
      <c r="B47" s="17"/>
      <c r="C47" s="17" t="s">
        <v>110</v>
      </c>
      <c r="D47" s="17"/>
      <c r="E47" s="17"/>
      <c r="F47" s="17"/>
      <c r="G47" s="17"/>
      <c r="H47" s="15" t="s">
        <v>110</v>
      </c>
      <c r="I47" s="15" t="s">
        <v>110</v>
      </c>
      <c r="J47" s="15"/>
      <c r="K47" s="15" t="s">
        <v>110</v>
      </c>
      <c r="L47" s="15"/>
      <c r="M47" s="15" t="s">
        <v>110</v>
      </c>
      <c r="N47" s="15"/>
      <c r="O47" s="12" t="s">
        <v>110</v>
      </c>
      <c r="P47" s="12"/>
      <c r="Q47" s="12" t="s">
        <v>110</v>
      </c>
      <c r="R47" s="12"/>
      <c r="S47" s="12" t="s">
        <v>110</v>
      </c>
      <c r="T47" s="12"/>
      <c r="U47" s="9"/>
      <c r="V47" s="9" t="s">
        <v>110</v>
      </c>
      <c r="W47" s="9"/>
      <c r="X47" s="9"/>
      <c r="Y47" s="9"/>
      <c r="Z47" s="9"/>
      <c r="AA47" s="6"/>
      <c r="AB47" s="6" t="s">
        <v>110</v>
      </c>
      <c r="AC47" s="6"/>
      <c r="AD47" s="6"/>
      <c r="AE47" s="6"/>
      <c r="AF47" s="6"/>
      <c r="AG47" s="3"/>
      <c r="AH47" s="3"/>
      <c r="AI47" s="3"/>
      <c r="AJ47" s="3" t="s">
        <v>110</v>
      </c>
      <c r="AK47" s="3"/>
      <c r="AL47" s="3" t="s">
        <v>110</v>
      </c>
    </row>
    <row r="48" spans="1:38" x14ac:dyDescent="0.25">
      <c r="A48" s="1" t="s">
        <v>278</v>
      </c>
      <c r="B48" s="17" t="s">
        <v>110</v>
      </c>
      <c r="C48" s="17" t="s">
        <v>110</v>
      </c>
      <c r="D48" s="17" t="s">
        <v>110</v>
      </c>
      <c r="E48" s="17"/>
      <c r="F48" s="17"/>
      <c r="G48" s="17"/>
      <c r="H48" s="15"/>
      <c r="I48" s="15"/>
      <c r="J48" s="15" t="s">
        <v>110</v>
      </c>
      <c r="K48" s="15"/>
      <c r="L48" s="15"/>
      <c r="M48" s="15" t="s">
        <v>110</v>
      </c>
      <c r="N48" s="15"/>
      <c r="O48" s="12" t="s">
        <v>110</v>
      </c>
      <c r="P48" s="12" t="s">
        <v>110</v>
      </c>
      <c r="Q48" s="12"/>
      <c r="R48" s="12" t="s">
        <v>110</v>
      </c>
      <c r="S48" s="12" t="s">
        <v>110</v>
      </c>
      <c r="T48" s="12"/>
      <c r="U48" s="9" t="s">
        <v>110</v>
      </c>
      <c r="V48" s="9"/>
      <c r="W48" s="9"/>
      <c r="X48" s="9" t="s">
        <v>110</v>
      </c>
      <c r="Y48" s="9" t="s">
        <v>110</v>
      </c>
      <c r="Z48" s="9" t="s">
        <v>110</v>
      </c>
      <c r="AA48" s="6" t="s">
        <v>110</v>
      </c>
      <c r="AB48" s="6"/>
      <c r="AC48" s="6" t="s">
        <v>110</v>
      </c>
      <c r="AD48" s="6"/>
      <c r="AE48" s="6"/>
      <c r="AF48" s="6" t="s">
        <v>110</v>
      </c>
      <c r="AG48" s="3"/>
      <c r="AH48" s="3"/>
      <c r="AI48" s="3"/>
      <c r="AJ48" s="3" t="s">
        <v>110</v>
      </c>
      <c r="AK48" s="3"/>
      <c r="AL48" s="3"/>
    </row>
    <row r="49" spans="1:38" x14ac:dyDescent="0.25">
      <c r="A49" s="1" t="s">
        <v>279</v>
      </c>
      <c r="B49" s="17"/>
      <c r="C49" s="17" t="s">
        <v>110</v>
      </c>
      <c r="D49" s="17"/>
      <c r="E49" s="17"/>
      <c r="F49" s="17"/>
      <c r="G49" s="17"/>
      <c r="H49" s="15"/>
      <c r="I49" s="15" t="s">
        <v>110</v>
      </c>
      <c r="J49" s="15"/>
      <c r="K49" s="15"/>
      <c r="L49" s="15" t="s">
        <v>110</v>
      </c>
      <c r="M49" s="15" t="s">
        <v>110</v>
      </c>
      <c r="N49" s="15"/>
      <c r="O49" s="12"/>
      <c r="P49" s="12"/>
      <c r="Q49" s="12" t="s">
        <v>110</v>
      </c>
      <c r="R49" s="12"/>
      <c r="S49" s="12" t="s">
        <v>110</v>
      </c>
      <c r="T49" s="12" t="s">
        <v>110</v>
      </c>
      <c r="U49" s="9"/>
      <c r="V49" s="9" t="s">
        <v>110</v>
      </c>
      <c r="W49" s="9" t="s">
        <v>110</v>
      </c>
      <c r="X49" s="9"/>
      <c r="Y49" s="9"/>
      <c r="Z49" s="9" t="s">
        <v>110</v>
      </c>
      <c r="AA49" s="6"/>
      <c r="AB49" s="6"/>
      <c r="AC49" s="6"/>
      <c r="AD49" s="6"/>
      <c r="AE49" s="6" t="s">
        <v>110</v>
      </c>
      <c r="AF49" s="6"/>
      <c r="AG49" s="3"/>
      <c r="AH49" s="3"/>
      <c r="AI49" s="3"/>
      <c r="AJ49" s="3" t="s">
        <v>110</v>
      </c>
      <c r="AK49" s="3" t="s">
        <v>110</v>
      </c>
      <c r="AL49" s="3"/>
    </row>
    <row r="50" spans="1:38" x14ac:dyDescent="0.25">
      <c r="A50" s="1" t="s">
        <v>280</v>
      </c>
      <c r="B50" s="17"/>
      <c r="C50" s="17" t="s">
        <v>110</v>
      </c>
      <c r="D50" s="17" t="s">
        <v>110</v>
      </c>
      <c r="E50" s="17"/>
      <c r="F50" s="17"/>
      <c r="G50" s="17"/>
      <c r="H50" s="15"/>
      <c r="I50" s="15"/>
      <c r="J50" s="15" t="s">
        <v>110</v>
      </c>
      <c r="K50" s="15" t="s">
        <v>110</v>
      </c>
      <c r="L50" s="15"/>
      <c r="M50" s="15" t="s">
        <v>110</v>
      </c>
      <c r="N50" s="15"/>
      <c r="O50" s="12" t="s">
        <v>110</v>
      </c>
      <c r="P50" s="12" t="s">
        <v>110</v>
      </c>
      <c r="Q50" s="12"/>
      <c r="R50" s="12" t="s">
        <v>110</v>
      </c>
      <c r="S50" s="12" t="s">
        <v>110</v>
      </c>
      <c r="T50" s="12"/>
      <c r="U50" s="9"/>
      <c r="V50" s="9"/>
      <c r="W50" s="9"/>
      <c r="X50" s="9" t="s">
        <v>110</v>
      </c>
      <c r="Y50" s="9"/>
      <c r="Z50" s="9"/>
      <c r="AA50" s="6"/>
      <c r="AB50" s="6" t="s">
        <v>110</v>
      </c>
      <c r="AC50" s="6"/>
      <c r="AD50" s="6"/>
      <c r="AE50" s="6"/>
      <c r="AF50" s="6"/>
      <c r="AG50" s="3"/>
      <c r="AH50" s="3"/>
      <c r="AI50" s="3"/>
      <c r="AJ50" s="3" t="s">
        <v>110</v>
      </c>
      <c r="AK50" s="3"/>
      <c r="AL50" s="3"/>
    </row>
    <row r="51" spans="1:38" x14ac:dyDescent="0.25">
      <c r="A51" s="1" t="s">
        <v>281</v>
      </c>
      <c r="B51" s="17" t="s">
        <v>110</v>
      </c>
      <c r="C51" s="17" t="s">
        <v>110</v>
      </c>
      <c r="D51" s="17"/>
      <c r="E51" s="17"/>
      <c r="F51" s="17"/>
      <c r="G51" s="17"/>
      <c r="H51" s="15"/>
      <c r="I51" s="15" t="s">
        <v>110</v>
      </c>
      <c r="J51" s="15"/>
      <c r="K51" s="15"/>
      <c r="L51" s="15"/>
      <c r="M51" s="15" t="s">
        <v>110</v>
      </c>
      <c r="N51" s="15"/>
      <c r="O51" s="12"/>
      <c r="P51" s="12"/>
      <c r="Q51" s="12" t="s">
        <v>110</v>
      </c>
      <c r="R51" s="12"/>
      <c r="S51" s="12" t="s">
        <v>110</v>
      </c>
      <c r="T51" s="12"/>
      <c r="U51" s="9"/>
      <c r="V51" s="9" t="s">
        <v>110</v>
      </c>
      <c r="W51" s="9"/>
      <c r="X51" s="9"/>
      <c r="Y51" s="9" t="s">
        <v>110</v>
      </c>
      <c r="Z51" s="9"/>
      <c r="AA51" s="6"/>
      <c r="AB51" s="6"/>
      <c r="AC51" s="6" t="s">
        <v>110</v>
      </c>
      <c r="AD51" s="6"/>
      <c r="AE51" s="6"/>
      <c r="AF51" s="6" t="s">
        <v>110</v>
      </c>
      <c r="AG51" s="3"/>
      <c r="AH51" s="3"/>
      <c r="AI51" s="3"/>
      <c r="AJ51" s="3" t="s">
        <v>110</v>
      </c>
      <c r="AK51" s="3"/>
      <c r="AL51" s="3" t="s">
        <v>110</v>
      </c>
    </row>
    <row r="52" spans="1:38" ht="15.75" thickBot="1" x14ac:dyDescent="0.3">
      <c r="A52" s="1"/>
      <c r="B52" s="17">
        <f>COUNTA(B3:B51)</f>
        <v>27</v>
      </c>
      <c r="C52" s="17">
        <f t="shared" ref="C52:AL52" si="0">COUNTA(C3:C51)</f>
        <v>49</v>
      </c>
      <c r="D52" s="17">
        <f t="shared" si="0"/>
        <v>35</v>
      </c>
      <c r="E52" s="17">
        <f t="shared" si="0"/>
        <v>14</v>
      </c>
      <c r="F52" s="17">
        <f t="shared" si="0"/>
        <v>25</v>
      </c>
      <c r="G52" s="17">
        <f t="shared" si="0"/>
        <v>24</v>
      </c>
      <c r="H52" s="15">
        <f t="shared" si="0"/>
        <v>18</v>
      </c>
      <c r="I52" s="15">
        <f t="shared" si="0"/>
        <v>33</v>
      </c>
      <c r="J52" s="15">
        <f t="shared" si="0"/>
        <v>32</v>
      </c>
      <c r="K52" s="15">
        <f t="shared" si="0"/>
        <v>17</v>
      </c>
      <c r="L52" s="15">
        <f t="shared" si="0"/>
        <v>16</v>
      </c>
      <c r="M52" s="15">
        <f t="shared" si="0"/>
        <v>49</v>
      </c>
      <c r="N52" s="15">
        <f t="shared" si="0"/>
        <v>0</v>
      </c>
      <c r="O52" s="12">
        <f t="shared" si="0"/>
        <v>20</v>
      </c>
      <c r="P52" s="12">
        <f t="shared" si="0"/>
        <v>24</v>
      </c>
      <c r="Q52" s="12">
        <f t="shared" si="0"/>
        <v>25</v>
      </c>
      <c r="R52" s="12">
        <f t="shared" si="0"/>
        <v>24</v>
      </c>
      <c r="S52" s="12">
        <f t="shared" si="0"/>
        <v>49</v>
      </c>
      <c r="T52" s="12">
        <f t="shared" si="0"/>
        <v>30</v>
      </c>
      <c r="U52" s="9">
        <f t="shared" si="0"/>
        <v>13</v>
      </c>
      <c r="V52" s="9">
        <f t="shared" si="0"/>
        <v>25</v>
      </c>
      <c r="W52" s="9">
        <f t="shared" si="0"/>
        <v>17</v>
      </c>
      <c r="X52" s="9">
        <f t="shared" si="0"/>
        <v>24</v>
      </c>
      <c r="Y52" s="9">
        <f t="shared" si="0"/>
        <v>22</v>
      </c>
      <c r="Z52" s="9">
        <f t="shared" si="0"/>
        <v>25</v>
      </c>
      <c r="AA52" s="6">
        <f t="shared" si="0"/>
        <v>15</v>
      </c>
      <c r="AB52" s="6">
        <f t="shared" si="0"/>
        <v>18</v>
      </c>
      <c r="AC52" s="6">
        <f t="shared" si="0"/>
        <v>18</v>
      </c>
      <c r="AD52" s="6">
        <f t="shared" si="0"/>
        <v>29</v>
      </c>
      <c r="AE52" s="6">
        <f t="shared" si="0"/>
        <v>19</v>
      </c>
      <c r="AF52" s="6">
        <f t="shared" si="0"/>
        <v>20</v>
      </c>
      <c r="AG52" s="3">
        <f t="shared" si="0"/>
        <v>12</v>
      </c>
      <c r="AH52" s="3">
        <f t="shared" si="0"/>
        <v>13</v>
      </c>
      <c r="AI52" s="3">
        <f t="shared" si="0"/>
        <v>13</v>
      </c>
      <c r="AJ52" s="3">
        <f t="shared" si="0"/>
        <v>49</v>
      </c>
      <c r="AK52" s="3">
        <f t="shared" si="0"/>
        <v>14</v>
      </c>
      <c r="AL52" s="3">
        <f t="shared" si="0"/>
        <v>14</v>
      </c>
    </row>
    <row r="53" spans="1:38" ht="15.75" thickTop="1" x14ac:dyDescent="0.25">
      <c r="B53" s="19">
        <f>COUNTA(B3:B26)</f>
        <v>18</v>
      </c>
      <c r="C53" s="19">
        <f t="shared" ref="C53:AL53" si="1">COUNTA(C3:C26)</f>
        <v>24</v>
      </c>
      <c r="D53" s="19">
        <f t="shared" si="1"/>
        <v>22</v>
      </c>
      <c r="E53" s="19">
        <f t="shared" si="1"/>
        <v>8</v>
      </c>
      <c r="F53" s="19">
        <f t="shared" si="1"/>
        <v>16</v>
      </c>
      <c r="G53" s="19">
        <f t="shared" si="1"/>
        <v>16</v>
      </c>
      <c r="H53" s="16">
        <f t="shared" si="1"/>
        <v>12</v>
      </c>
      <c r="I53" s="16">
        <f t="shared" si="1"/>
        <v>19</v>
      </c>
      <c r="J53" s="16">
        <f t="shared" si="1"/>
        <v>14</v>
      </c>
      <c r="K53" s="16">
        <f t="shared" si="1"/>
        <v>9</v>
      </c>
      <c r="L53" s="16">
        <f t="shared" si="1"/>
        <v>8</v>
      </c>
      <c r="M53" s="16">
        <f t="shared" si="1"/>
        <v>24</v>
      </c>
      <c r="N53" s="16">
        <f t="shared" si="1"/>
        <v>0</v>
      </c>
      <c r="O53" s="13">
        <f t="shared" si="1"/>
        <v>10</v>
      </c>
      <c r="P53" s="13">
        <f t="shared" si="1"/>
        <v>12</v>
      </c>
      <c r="Q53" s="13">
        <f t="shared" si="1"/>
        <v>12</v>
      </c>
      <c r="R53" s="13">
        <f t="shared" si="1"/>
        <v>12</v>
      </c>
      <c r="S53" s="13">
        <f t="shared" si="1"/>
        <v>24</v>
      </c>
      <c r="T53" s="13">
        <f t="shared" si="1"/>
        <v>16</v>
      </c>
      <c r="U53" s="10">
        <f t="shared" si="1"/>
        <v>10</v>
      </c>
      <c r="V53" s="10">
        <f t="shared" si="1"/>
        <v>12</v>
      </c>
      <c r="W53" s="10">
        <f t="shared" si="1"/>
        <v>9</v>
      </c>
      <c r="X53" s="10">
        <f t="shared" si="1"/>
        <v>12</v>
      </c>
      <c r="Y53" s="10">
        <f t="shared" si="1"/>
        <v>13</v>
      </c>
      <c r="Z53" s="10">
        <f t="shared" si="1"/>
        <v>13</v>
      </c>
      <c r="AA53" s="7">
        <f t="shared" si="1"/>
        <v>10</v>
      </c>
      <c r="AB53" s="7">
        <f t="shared" si="1"/>
        <v>10</v>
      </c>
      <c r="AC53" s="7">
        <f t="shared" si="1"/>
        <v>9</v>
      </c>
      <c r="AD53" s="7">
        <f t="shared" si="1"/>
        <v>24</v>
      </c>
      <c r="AE53" s="7">
        <f t="shared" si="1"/>
        <v>11</v>
      </c>
      <c r="AF53" s="7">
        <f t="shared" si="1"/>
        <v>11</v>
      </c>
      <c r="AG53" s="4">
        <f t="shared" si="1"/>
        <v>8</v>
      </c>
      <c r="AH53" s="4">
        <f t="shared" si="1"/>
        <v>8</v>
      </c>
      <c r="AI53" s="4">
        <f t="shared" si="1"/>
        <v>8</v>
      </c>
      <c r="AJ53" s="4">
        <f t="shared" si="1"/>
        <v>24</v>
      </c>
      <c r="AK53" s="4">
        <f t="shared" si="1"/>
        <v>8</v>
      </c>
      <c r="AL53" s="4">
        <f t="shared" si="1"/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A9C291-239B-4AB1-B50F-9068481A61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Armure</vt:lpstr>
      <vt:lpstr>Armes</vt:lpstr>
      <vt:lpstr>Consommables</vt:lpstr>
      <vt:lpstr>Outils voleur</vt:lpstr>
      <vt:lpstr>Manoeuvres</vt:lpstr>
      <vt:lpstr>Sorts</vt:lpstr>
      <vt:lpstr>Ennemi</vt:lpstr>
      <vt:lpstr>Groupe ennemis</vt:lpstr>
      <vt:lpstr>Starting stats</vt:lpstr>
      <vt:lpstr>Constantes</vt:lpstr>
      <vt:lpstr>ExpTable</vt:lpstr>
      <vt:lpstr>ff1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jolahn.vaudey@grenoble-inp.org</dc:creator>
  <cp:lastModifiedBy>jolahn.vaudey@grenoble-inp.org</cp:lastModifiedBy>
  <dcterms:created xsi:type="dcterms:W3CDTF">2025-12-05T09:23:47Z</dcterms:created>
  <dcterms:modified xsi:type="dcterms:W3CDTF">2025-12-17T09:45:33Z</dcterms:modified>
</cp:coreProperties>
</file>